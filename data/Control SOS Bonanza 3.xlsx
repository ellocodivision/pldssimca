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rtinbarroso/Downloads/"/>
    </mc:Choice>
  </mc:AlternateContent>
  <xr:revisionPtr revIDLastSave="0" documentId="13_ncr:1_{E1FC2DA8-39D2-2D47-B4EB-9DF206C5931B}" xr6:coauthVersionLast="47" xr6:coauthVersionMax="47" xr10:uidLastSave="{00000000-0000-0000-0000-000000000000}"/>
  <bookViews>
    <workbookView xWindow="0" yWindow="600" windowWidth="28800" windowHeight="17400" firstSheet="1" activeTab="2" xr2:uid="{00000000-000D-0000-FFFF-FFFF00000000}"/>
  </bookViews>
  <sheets>
    <sheet name="Graficas" sheetId="1" state="hidden" r:id="rId1"/>
    <sheet name="RESUMEN" sheetId="12" r:id="rId2"/>
    <sheet name="Bonanza" sheetId="2" r:id="rId3"/>
    <sheet name="Banorte" sheetId="11" r:id="rId4"/>
    <sheet name="Vendidos x Ent Obra" sheetId="10" state="hidden" r:id="rId5"/>
    <sheet name="CANCELACIONES" sheetId="3" state="hidden" r:id="rId6"/>
  </sheets>
  <definedNames>
    <definedName name="_xlnm._FilterDatabase" localSheetId="3" hidden="1">Banorte!$B$4:$K$195</definedName>
    <definedName name="_xlnm._FilterDatabase" localSheetId="2" hidden="1">Bonanza!$A$6:$AQ$197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2" l="1"/>
  <c r="Q197" i="2"/>
  <c r="Q196" i="2"/>
  <c r="Q193" i="2"/>
  <c r="Q192" i="2"/>
  <c r="Q190" i="2"/>
  <c r="Q189" i="2"/>
  <c r="Q188" i="2"/>
  <c r="Q187" i="2"/>
  <c r="Q186" i="2"/>
  <c r="Q185" i="2"/>
  <c r="Q184" i="2"/>
  <c r="Q181" i="2"/>
  <c r="Q160" i="2"/>
  <c r="Q159" i="2"/>
  <c r="Q157" i="2"/>
  <c r="Q156" i="2"/>
  <c r="Q154" i="2"/>
  <c r="Q153" i="2"/>
  <c r="Q151" i="2"/>
  <c r="Q150" i="2"/>
  <c r="Q149" i="2"/>
  <c r="Q143" i="2"/>
  <c r="Q142" i="2"/>
  <c r="Q140" i="2"/>
  <c r="Q139" i="2"/>
  <c r="Q137" i="2"/>
  <c r="Q136" i="2"/>
  <c r="Q135" i="2"/>
  <c r="Q134" i="2"/>
  <c r="Q133" i="2"/>
  <c r="Q130" i="2"/>
  <c r="Q128" i="2"/>
  <c r="Q126" i="2"/>
  <c r="Q125" i="2"/>
  <c r="Q124" i="2"/>
  <c r="Q122" i="2"/>
  <c r="Q120" i="2"/>
  <c r="Q119" i="2"/>
  <c r="Q117" i="2"/>
  <c r="Q116" i="2"/>
  <c r="Q115" i="2"/>
  <c r="Q114" i="2"/>
  <c r="Q112" i="2"/>
  <c r="Q111" i="2"/>
  <c r="Q110" i="2"/>
  <c r="Q109" i="2"/>
  <c r="Q107" i="2"/>
  <c r="Q105" i="2"/>
  <c r="Q104" i="2"/>
  <c r="Q103" i="2"/>
  <c r="Q102" i="2"/>
  <c r="Q101" i="2"/>
  <c r="Q98" i="2"/>
  <c r="Q97" i="2"/>
  <c r="Q96" i="2"/>
  <c r="Q95" i="2"/>
  <c r="Q94" i="2"/>
  <c r="Q93" i="2"/>
  <c r="Q92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3" i="2"/>
  <c r="Q72" i="2"/>
  <c r="Q71" i="2"/>
  <c r="Q70" i="2"/>
  <c r="Q69" i="2"/>
  <c r="Q68" i="2"/>
  <c r="Q67" i="2"/>
  <c r="Q66" i="2"/>
  <c r="Q64" i="2"/>
  <c r="Q63" i="2"/>
  <c r="Q62" i="2"/>
  <c r="Q61" i="2"/>
  <c r="Q60" i="2"/>
  <c r="Q59" i="2"/>
  <c r="Q58" i="2"/>
  <c r="Q56" i="2"/>
  <c r="Q55" i="2"/>
  <c r="Q54" i="2"/>
  <c r="Q52" i="2"/>
  <c r="Q51" i="2"/>
  <c r="Q50" i="2"/>
  <c r="Q49" i="2"/>
  <c r="Q47" i="2"/>
  <c r="Q46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0" i="2"/>
  <c r="Q29" i="2"/>
  <c r="Q28" i="2"/>
  <c r="Q25" i="2"/>
  <c r="Q19" i="2"/>
  <c r="Q15" i="2"/>
  <c r="Q14" i="2"/>
  <c r="Q13" i="2"/>
  <c r="Q12" i="2"/>
  <c r="Q11" i="2"/>
  <c r="Q7" i="2"/>
  <c r="C5" i="12"/>
  <c r="L8" i="12"/>
  <c r="K8" i="12"/>
  <c r="J8" i="12"/>
  <c r="L7" i="12"/>
  <c r="K7" i="12"/>
  <c r="J7" i="12"/>
  <c r="L6" i="12"/>
  <c r="K6" i="12"/>
  <c r="J6" i="12"/>
  <c r="L5" i="12"/>
  <c r="K5" i="12"/>
  <c r="J5" i="12"/>
  <c r="F8" i="12"/>
  <c r="E8" i="12"/>
  <c r="D8" i="12"/>
  <c r="F7" i="12"/>
  <c r="E7" i="12"/>
  <c r="D7" i="12"/>
  <c r="F6" i="12"/>
  <c r="E6" i="12"/>
  <c r="D6" i="12"/>
  <c r="F5" i="12"/>
  <c r="E5" i="12"/>
  <c r="D5" i="12"/>
  <c r="I8" i="12"/>
  <c r="I7" i="12"/>
  <c r="I6" i="12"/>
  <c r="I5" i="12"/>
  <c r="C8" i="12"/>
  <c r="C7" i="12"/>
  <c r="C6" i="12"/>
  <c r="C4" i="2"/>
  <c r="U8" i="2"/>
  <c r="X7" i="2"/>
  <c r="U162" i="2"/>
  <c r="O8" i="12" l="1"/>
  <c r="O6" i="12"/>
  <c r="I9" i="12"/>
  <c r="O7" i="12"/>
  <c r="O5" i="12"/>
  <c r="P5" i="12"/>
  <c r="R7" i="12"/>
  <c r="Q5" i="12"/>
  <c r="P8" i="12"/>
  <c r="L9" i="12"/>
  <c r="R5" i="12"/>
  <c r="Q8" i="12"/>
  <c r="R8" i="12"/>
  <c r="R6" i="12"/>
  <c r="Q7" i="12"/>
  <c r="K9" i="12"/>
  <c r="Q6" i="12"/>
  <c r="D9" i="12"/>
  <c r="P7" i="12"/>
  <c r="F9" i="12"/>
  <c r="P6" i="12"/>
  <c r="E9" i="12"/>
  <c r="J9" i="12"/>
  <c r="C9" i="12"/>
  <c r="K2" i="11"/>
  <c r="X39" i="2"/>
  <c r="X40" i="2"/>
  <c r="X41" i="2"/>
  <c r="X42" i="2"/>
  <c r="X43" i="2"/>
  <c r="X44" i="2"/>
  <c r="X46" i="2"/>
  <c r="X47" i="2"/>
  <c r="X49" i="2"/>
  <c r="X50" i="2"/>
  <c r="X51" i="2"/>
  <c r="X52" i="2"/>
  <c r="X54" i="2"/>
  <c r="X55" i="2"/>
  <c r="X56" i="2"/>
  <c r="X58" i="2"/>
  <c r="X59" i="2"/>
  <c r="X60" i="2"/>
  <c r="X61" i="2"/>
  <c r="X62" i="2"/>
  <c r="X63" i="2"/>
  <c r="X64" i="2"/>
  <c r="X66" i="2"/>
  <c r="X67" i="2"/>
  <c r="X68" i="2"/>
  <c r="X69" i="2"/>
  <c r="X70" i="2"/>
  <c r="X71" i="2"/>
  <c r="X72" i="2"/>
  <c r="X73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2" i="2"/>
  <c r="X93" i="2"/>
  <c r="X94" i="2"/>
  <c r="X95" i="2"/>
  <c r="X96" i="2"/>
  <c r="X97" i="2"/>
  <c r="X98" i="2"/>
  <c r="X101" i="2"/>
  <c r="X102" i="2"/>
  <c r="X103" i="2"/>
  <c r="X104" i="2"/>
  <c r="X105" i="2"/>
  <c r="X107" i="2"/>
  <c r="X109" i="2"/>
  <c r="X110" i="2"/>
  <c r="X111" i="2"/>
  <c r="X112" i="2"/>
  <c r="X114" i="2"/>
  <c r="X115" i="2"/>
  <c r="X116" i="2"/>
  <c r="X117" i="2"/>
  <c r="X119" i="2"/>
  <c r="X120" i="2"/>
  <c r="X122" i="2"/>
  <c r="X124" i="2"/>
  <c r="X125" i="2"/>
  <c r="X126" i="2"/>
  <c r="X128" i="2"/>
  <c r="X130" i="2"/>
  <c r="X133" i="2"/>
  <c r="X134" i="2"/>
  <c r="X135" i="2"/>
  <c r="X136" i="2"/>
  <c r="X137" i="2"/>
  <c r="X139" i="2"/>
  <c r="X140" i="2"/>
  <c r="X142" i="2"/>
  <c r="X143" i="2"/>
  <c r="X149" i="2"/>
  <c r="X150" i="2"/>
  <c r="X151" i="2"/>
  <c r="X153" i="2"/>
  <c r="X154" i="2"/>
  <c r="X156" i="2"/>
  <c r="X157" i="2"/>
  <c r="X159" i="2"/>
  <c r="X160" i="2"/>
  <c r="X181" i="2"/>
  <c r="X184" i="2"/>
  <c r="X185" i="2"/>
  <c r="X186" i="2"/>
  <c r="X187" i="2"/>
  <c r="X188" i="2"/>
  <c r="X189" i="2"/>
  <c r="X190" i="2"/>
  <c r="X192" i="2"/>
  <c r="X193" i="2"/>
  <c r="X196" i="2"/>
  <c r="X197" i="2"/>
  <c r="X8" i="2"/>
  <c r="X9" i="2"/>
  <c r="X16" i="2"/>
  <c r="X147" i="2"/>
  <c r="X148" i="2"/>
  <c r="X152" i="2"/>
  <c r="X155" i="2"/>
  <c r="X158" i="2"/>
  <c r="X161" i="2"/>
  <c r="X162" i="2"/>
  <c r="X163" i="2"/>
  <c r="X17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" i="2"/>
  <c r="X182" i="2"/>
  <c r="X183" i="2"/>
  <c r="X191" i="2"/>
  <c r="X194" i="2"/>
  <c r="X195" i="2"/>
  <c r="X20" i="2"/>
  <c r="X21" i="2"/>
  <c r="X22" i="2"/>
  <c r="X23" i="2"/>
  <c r="X24" i="2"/>
  <c r="X26" i="2"/>
  <c r="X27" i="2"/>
  <c r="X31" i="2"/>
  <c r="X45" i="2"/>
  <c r="X48" i="2"/>
  <c r="X53" i="2"/>
  <c r="X57" i="2"/>
  <c r="X65" i="2"/>
  <c r="X74" i="2"/>
  <c r="X75" i="2"/>
  <c r="X91" i="2"/>
  <c r="X99" i="2"/>
  <c r="X100" i="2"/>
  <c r="X106" i="2"/>
  <c r="X108" i="2"/>
  <c r="X113" i="2"/>
  <c r="X118" i="2"/>
  <c r="X121" i="2"/>
  <c r="X123" i="2"/>
  <c r="X127" i="2"/>
  <c r="X129" i="2"/>
  <c r="X131" i="2"/>
  <c r="X132" i="2"/>
  <c r="X138" i="2"/>
  <c r="X141" i="2"/>
  <c r="X144" i="2"/>
  <c r="X145" i="2"/>
  <c r="X146" i="2"/>
  <c r="X25" i="2"/>
  <c r="X28" i="2"/>
  <c r="X29" i="2"/>
  <c r="X30" i="2"/>
  <c r="X32" i="2"/>
  <c r="X33" i="2"/>
  <c r="X34" i="2"/>
  <c r="X35" i="2"/>
  <c r="X36" i="2"/>
  <c r="X37" i="2"/>
  <c r="X38" i="2"/>
  <c r="X10" i="2"/>
  <c r="X11" i="2"/>
  <c r="X12" i="2"/>
  <c r="X13" i="2"/>
  <c r="X14" i="2"/>
  <c r="X15" i="2"/>
  <c r="X19" i="2"/>
  <c r="O9" i="12" l="1"/>
  <c r="R9" i="12"/>
  <c r="Q9" i="12"/>
  <c r="P9" i="12"/>
  <c r="X4" i="2"/>
  <c r="Z15" i="2"/>
  <c r="S4" i="2"/>
  <c r="Q4" i="2"/>
  <c r="U9" i="2"/>
  <c r="U16" i="2"/>
  <c r="U147" i="2"/>
  <c r="U148" i="2"/>
  <c r="U152" i="2"/>
  <c r="U155" i="2"/>
  <c r="U158" i="2"/>
  <c r="U161" i="2"/>
  <c r="U163" i="2"/>
  <c r="U17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" i="2"/>
  <c r="U182" i="2"/>
  <c r="U183" i="2"/>
  <c r="U191" i="2"/>
  <c r="U194" i="2"/>
  <c r="U195" i="2"/>
  <c r="U20" i="2"/>
  <c r="U21" i="2"/>
  <c r="U22" i="2"/>
  <c r="U23" i="2"/>
  <c r="U24" i="2"/>
  <c r="U26" i="2"/>
  <c r="U27" i="2"/>
  <c r="U31" i="2"/>
  <c r="U45" i="2"/>
  <c r="U48" i="2"/>
  <c r="U53" i="2"/>
  <c r="U57" i="2"/>
  <c r="U65" i="2"/>
  <c r="U74" i="2"/>
  <c r="U75" i="2"/>
  <c r="U91" i="2"/>
  <c r="U99" i="2"/>
  <c r="U100" i="2"/>
  <c r="U106" i="2"/>
  <c r="U108" i="2"/>
  <c r="U113" i="2"/>
  <c r="U118" i="2"/>
  <c r="U121" i="2"/>
  <c r="U123" i="2"/>
  <c r="U127" i="2"/>
  <c r="U129" i="2"/>
  <c r="U131" i="2"/>
  <c r="U132" i="2"/>
  <c r="U138" i="2"/>
  <c r="U141" i="2"/>
  <c r="U144" i="2"/>
  <c r="U145" i="2"/>
  <c r="U146" i="2"/>
  <c r="Y4" i="2" l="1"/>
  <c r="Y3" i="2" s="1"/>
  <c r="T30" i="2"/>
  <c r="Z30" i="2"/>
  <c r="T32" i="2"/>
  <c r="Z32" i="2"/>
  <c r="T33" i="2"/>
  <c r="Z33" i="2"/>
  <c r="T34" i="2"/>
  <c r="Z34" i="2"/>
  <c r="T35" i="2"/>
  <c r="U35" i="2" s="1"/>
  <c r="Z35" i="2"/>
  <c r="T36" i="2"/>
  <c r="Z36" i="2"/>
  <c r="T37" i="2"/>
  <c r="U37" i="2" s="1"/>
  <c r="Z37" i="2"/>
  <c r="T38" i="2"/>
  <c r="Z38" i="2"/>
  <c r="T39" i="2"/>
  <c r="Z39" i="2"/>
  <c r="T40" i="2"/>
  <c r="Z40" i="2"/>
  <c r="T41" i="2"/>
  <c r="Z41" i="2"/>
  <c r="T42" i="2"/>
  <c r="Z42" i="2"/>
  <c r="T43" i="2"/>
  <c r="Z43" i="2"/>
  <c r="T44" i="2"/>
  <c r="Z44" i="2"/>
  <c r="T46" i="2"/>
  <c r="Z46" i="2"/>
  <c r="T47" i="2"/>
  <c r="Z47" i="2"/>
  <c r="T49" i="2"/>
  <c r="Z49" i="2"/>
  <c r="T50" i="2"/>
  <c r="U50" i="2" s="1"/>
  <c r="Z50" i="2"/>
  <c r="T51" i="2"/>
  <c r="Z51" i="2"/>
  <c r="T52" i="2"/>
  <c r="Z52" i="2"/>
  <c r="T54" i="2"/>
  <c r="U54" i="2" s="1"/>
  <c r="Z54" i="2"/>
  <c r="T55" i="2"/>
  <c r="Z55" i="2"/>
  <c r="T56" i="2"/>
  <c r="U56" i="2" s="1"/>
  <c r="Z56" i="2"/>
  <c r="T58" i="2"/>
  <c r="Z58" i="2"/>
  <c r="T59" i="2"/>
  <c r="U59" i="2" s="1"/>
  <c r="Z59" i="2"/>
  <c r="T60" i="2"/>
  <c r="Z60" i="2"/>
  <c r="T61" i="2"/>
  <c r="Z61" i="2"/>
  <c r="T62" i="2"/>
  <c r="U62" i="2" s="1"/>
  <c r="Z62" i="2"/>
  <c r="T63" i="2"/>
  <c r="Z63" i="2"/>
  <c r="T64" i="2"/>
  <c r="U64" i="2" s="1"/>
  <c r="Z64" i="2"/>
  <c r="T66" i="2"/>
  <c r="Z66" i="2"/>
  <c r="T67" i="2"/>
  <c r="Z67" i="2"/>
  <c r="T68" i="2"/>
  <c r="Z68" i="2"/>
  <c r="T69" i="2"/>
  <c r="Z69" i="2"/>
  <c r="T70" i="2"/>
  <c r="Z70" i="2"/>
  <c r="T71" i="2"/>
  <c r="U71" i="2" s="1"/>
  <c r="Z71" i="2"/>
  <c r="T72" i="2"/>
  <c r="U72" i="2" s="1"/>
  <c r="Z72" i="2"/>
  <c r="T73" i="2"/>
  <c r="Z73" i="2"/>
  <c r="T76" i="2"/>
  <c r="Z76" i="2"/>
  <c r="T77" i="2"/>
  <c r="Z77" i="2"/>
  <c r="T78" i="2"/>
  <c r="Z78" i="2"/>
  <c r="T79" i="2"/>
  <c r="Z79" i="2"/>
  <c r="T80" i="2"/>
  <c r="Z80" i="2"/>
  <c r="T81" i="2"/>
  <c r="Z81" i="2"/>
  <c r="T82" i="2"/>
  <c r="Z82" i="2"/>
  <c r="T83" i="2"/>
  <c r="Z83" i="2"/>
  <c r="T84" i="2"/>
  <c r="Z84" i="2"/>
  <c r="T85" i="2"/>
  <c r="U85" i="2" s="1"/>
  <c r="Z85" i="2"/>
  <c r="T86" i="2"/>
  <c r="Z86" i="2"/>
  <c r="T87" i="2"/>
  <c r="Z87" i="2"/>
  <c r="T88" i="2"/>
  <c r="Z88" i="2"/>
  <c r="T89" i="2"/>
  <c r="U89" i="2" s="1"/>
  <c r="Z89" i="2"/>
  <c r="T90" i="2"/>
  <c r="Z90" i="2"/>
  <c r="T92" i="2"/>
  <c r="Z92" i="2"/>
  <c r="T93" i="2"/>
  <c r="Z93" i="2"/>
  <c r="T94" i="2"/>
  <c r="Z94" i="2"/>
  <c r="T95" i="2"/>
  <c r="Z95" i="2"/>
  <c r="T96" i="2"/>
  <c r="Z96" i="2"/>
  <c r="T97" i="2"/>
  <c r="Z97" i="2"/>
  <c r="T98" i="2"/>
  <c r="Z98" i="2"/>
  <c r="T101" i="2"/>
  <c r="Z101" i="2"/>
  <c r="T102" i="2"/>
  <c r="Z102" i="2"/>
  <c r="T103" i="2"/>
  <c r="Z103" i="2"/>
  <c r="T104" i="2"/>
  <c r="U104" i="2" s="1"/>
  <c r="Z104" i="2"/>
  <c r="T105" i="2"/>
  <c r="Z105" i="2"/>
  <c r="T107" i="2"/>
  <c r="U107" i="2" s="1"/>
  <c r="Z107" i="2"/>
  <c r="T109" i="2"/>
  <c r="U109" i="2" s="1"/>
  <c r="Z109" i="2"/>
  <c r="T110" i="2"/>
  <c r="Z110" i="2"/>
  <c r="T111" i="2"/>
  <c r="Z111" i="2"/>
  <c r="T112" i="2"/>
  <c r="Z112" i="2"/>
  <c r="T114" i="2"/>
  <c r="Z114" i="2"/>
  <c r="T115" i="2"/>
  <c r="U115" i="2" s="1"/>
  <c r="Z115" i="2"/>
  <c r="T116" i="2"/>
  <c r="Z116" i="2"/>
  <c r="T117" i="2"/>
  <c r="Z117" i="2"/>
  <c r="T119" i="2"/>
  <c r="Z119" i="2"/>
  <c r="T120" i="2"/>
  <c r="Z120" i="2"/>
  <c r="T122" i="2"/>
  <c r="U122" i="2" s="1"/>
  <c r="Z122" i="2"/>
  <c r="T124" i="2"/>
  <c r="U124" i="2" s="1"/>
  <c r="Z124" i="2"/>
  <c r="T125" i="2"/>
  <c r="U125" i="2" s="1"/>
  <c r="Z125" i="2"/>
  <c r="T126" i="2"/>
  <c r="Z126" i="2"/>
  <c r="T128" i="2"/>
  <c r="Z128" i="2"/>
  <c r="T130" i="2"/>
  <c r="Z130" i="2"/>
  <c r="T133" i="2"/>
  <c r="Z133" i="2"/>
  <c r="T134" i="2"/>
  <c r="Z134" i="2"/>
  <c r="T135" i="2"/>
  <c r="Z135" i="2"/>
  <c r="T136" i="2"/>
  <c r="Z136" i="2"/>
  <c r="T137" i="2"/>
  <c r="Z137" i="2"/>
  <c r="T139" i="2"/>
  <c r="Z139" i="2"/>
  <c r="T140" i="2"/>
  <c r="Z140" i="2"/>
  <c r="T142" i="2"/>
  <c r="Z142" i="2"/>
  <c r="T143" i="2"/>
  <c r="Z143" i="2"/>
  <c r="T149" i="2"/>
  <c r="Z149" i="2"/>
  <c r="T150" i="2"/>
  <c r="Z150" i="2"/>
  <c r="T151" i="2"/>
  <c r="U151" i="2" s="1"/>
  <c r="Z151" i="2"/>
  <c r="T153" i="2"/>
  <c r="Z153" i="2"/>
  <c r="T154" i="2"/>
  <c r="U154" i="2" s="1"/>
  <c r="Z154" i="2"/>
  <c r="T156" i="2"/>
  <c r="Z156" i="2"/>
  <c r="T157" i="2"/>
  <c r="Z157" i="2"/>
  <c r="T159" i="2"/>
  <c r="Z159" i="2"/>
  <c r="T160" i="2"/>
  <c r="Z160" i="2"/>
  <c r="T181" i="2"/>
  <c r="Z181" i="2"/>
  <c r="T184" i="2"/>
  <c r="U184" i="2" s="1"/>
  <c r="Z184" i="2"/>
  <c r="T185" i="2"/>
  <c r="Z185" i="2"/>
  <c r="T186" i="2"/>
  <c r="Z186" i="2"/>
  <c r="T187" i="2"/>
  <c r="Z187" i="2"/>
  <c r="T188" i="2"/>
  <c r="U188" i="2" s="1"/>
  <c r="Z188" i="2"/>
  <c r="T189" i="2"/>
  <c r="Z189" i="2"/>
  <c r="T190" i="2"/>
  <c r="Z190" i="2"/>
  <c r="T192" i="2"/>
  <c r="Z192" i="2"/>
  <c r="T193" i="2"/>
  <c r="Z193" i="2"/>
  <c r="T196" i="2"/>
  <c r="Z196" i="2"/>
  <c r="T197" i="2"/>
  <c r="Z197" i="2"/>
  <c r="Z8" i="2"/>
  <c r="Z9" i="2"/>
  <c r="Z16" i="2"/>
  <c r="Z147" i="2"/>
  <c r="Z148" i="2"/>
  <c r="Z152" i="2"/>
  <c r="Z155" i="2"/>
  <c r="Z158" i="2"/>
  <c r="Z161" i="2"/>
  <c r="Z162" i="2"/>
  <c r="Z163" i="2"/>
  <c r="Z17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" i="2"/>
  <c r="Z182" i="2"/>
  <c r="Z183" i="2"/>
  <c r="Z191" i="2"/>
  <c r="Z194" i="2"/>
  <c r="Z195" i="2"/>
  <c r="Z20" i="2"/>
  <c r="Z21" i="2"/>
  <c r="Z22" i="2"/>
  <c r="Z23" i="2"/>
  <c r="Z24" i="2"/>
  <c r="Z26" i="2"/>
  <c r="Z27" i="2"/>
  <c r="Z31" i="2"/>
  <c r="Z45" i="2"/>
  <c r="Z48" i="2"/>
  <c r="Z53" i="2"/>
  <c r="Z57" i="2"/>
  <c r="Z65" i="2"/>
  <c r="Z74" i="2"/>
  <c r="Z75" i="2"/>
  <c r="Z91" i="2"/>
  <c r="Z99" i="2"/>
  <c r="Z100" i="2"/>
  <c r="Z106" i="2"/>
  <c r="Z108" i="2"/>
  <c r="Z113" i="2"/>
  <c r="Z118" i="2"/>
  <c r="Z121" i="2"/>
  <c r="Z123" i="2"/>
  <c r="Z127" i="2"/>
  <c r="Z129" i="2"/>
  <c r="Z131" i="2"/>
  <c r="Z132" i="2"/>
  <c r="Z138" i="2"/>
  <c r="Z141" i="2"/>
  <c r="Z144" i="2"/>
  <c r="Z145" i="2"/>
  <c r="Z146" i="2"/>
  <c r="T12" i="2"/>
  <c r="Z12" i="2"/>
  <c r="T13" i="2"/>
  <c r="Z13" i="2"/>
  <c r="T14" i="2"/>
  <c r="Z14" i="2"/>
  <c r="T15" i="2"/>
  <c r="T19" i="2"/>
  <c r="Z19" i="2"/>
  <c r="T25" i="2"/>
  <c r="Z25" i="2"/>
  <c r="T28" i="2"/>
  <c r="Z28" i="2"/>
  <c r="T29" i="2"/>
  <c r="Z29" i="2"/>
  <c r="U197" i="2" l="1"/>
  <c r="U186" i="2"/>
  <c r="U126" i="2"/>
  <c r="U98" i="2"/>
  <c r="U77" i="2"/>
  <c r="U52" i="2"/>
  <c r="U34" i="2"/>
  <c r="U25" i="2"/>
  <c r="U189" i="2"/>
  <c r="U159" i="2"/>
  <c r="U143" i="2"/>
  <c r="U133" i="2"/>
  <c r="U119" i="2"/>
  <c r="U97" i="2"/>
  <c r="U88" i="2"/>
  <c r="U84" i="2"/>
  <c r="U80" i="2"/>
  <c r="U70" i="2"/>
  <c r="U46" i="2"/>
  <c r="U33" i="2"/>
  <c r="U19" i="2"/>
  <c r="U15" i="2"/>
  <c r="U193" i="2"/>
  <c r="U157" i="2"/>
  <c r="U142" i="2"/>
  <c r="U136" i="2"/>
  <c r="U130" i="2"/>
  <c r="U117" i="2"/>
  <c r="U112" i="2"/>
  <c r="U102" i="2"/>
  <c r="U96" i="2"/>
  <c r="U92" i="2"/>
  <c r="U87" i="2"/>
  <c r="U83" i="2"/>
  <c r="U79" i="2"/>
  <c r="U73" i="2"/>
  <c r="U69" i="2"/>
  <c r="U60" i="2"/>
  <c r="U55" i="2"/>
  <c r="U44" i="2"/>
  <c r="U40" i="2"/>
  <c r="U36" i="2"/>
  <c r="U32" i="2"/>
  <c r="U160" i="2"/>
  <c r="U149" i="2"/>
  <c r="U42" i="2"/>
  <c r="U41" i="2"/>
  <c r="U28" i="2"/>
  <c r="U13" i="2"/>
  <c r="U190" i="2"/>
  <c r="U139" i="2"/>
  <c r="U134" i="2"/>
  <c r="U120" i="2"/>
  <c r="U110" i="2"/>
  <c r="U94" i="2"/>
  <c r="U81" i="2"/>
  <c r="U67" i="2"/>
  <c r="U58" i="2"/>
  <c r="U47" i="2"/>
  <c r="U38" i="2"/>
  <c r="U12" i="2"/>
  <c r="U196" i="2"/>
  <c r="U185" i="2"/>
  <c r="U153" i="2"/>
  <c r="U137" i="2"/>
  <c r="U114" i="2"/>
  <c r="U103" i="2"/>
  <c r="U93" i="2"/>
  <c r="U76" i="2"/>
  <c r="U66" i="2"/>
  <c r="U61" i="2"/>
  <c r="U51" i="2"/>
  <c r="U29" i="2"/>
  <c r="U14" i="2"/>
  <c r="U192" i="2"/>
  <c r="U187" i="2"/>
  <c r="U181" i="2"/>
  <c r="U156" i="2"/>
  <c r="U150" i="2"/>
  <c r="U140" i="2"/>
  <c r="U135" i="2"/>
  <c r="U128" i="2"/>
  <c r="U116" i="2"/>
  <c r="U111" i="2"/>
  <c r="U105" i="2"/>
  <c r="U101" i="2"/>
  <c r="U95" i="2"/>
  <c r="U90" i="2"/>
  <c r="U86" i="2"/>
  <c r="U82" i="2"/>
  <c r="U78" i="2"/>
  <c r="U68" i="2"/>
  <c r="U63" i="2"/>
  <c r="U49" i="2"/>
  <c r="U43" i="2"/>
  <c r="U39" i="2"/>
  <c r="U30" i="2"/>
  <c r="P4" i="2" l="1"/>
  <c r="W4" i="2"/>
  <c r="Z11" i="2"/>
  <c r="Z10" i="2"/>
  <c r="Z7" i="2"/>
  <c r="Z4" i="2" l="1"/>
  <c r="H7" i="10" l="1"/>
  <c r="H6" i="10"/>
  <c r="H5" i="10"/>
  <c r="H4" i="10"/>
  <c r="H3" i="10"/>
  <c r="G7" i="10"/>
  <c r="G6" i="10"/>
  <c r="G5" i="10"/>
  <c r="G4" i="10"/>
  <c r="G3" i="10"/>
  <c r="D7" i="10"/>
  <c r="D6" i="10"/>
  <c r="D5" i="10"/>
  <c r="D4" i="10"/>
  <c r="D3" i="10"/>
  <c r="C3" i="10"/>
  <c r="C7" i="10"/>
  <c r="C6" i="10"/>
  <c r="C5" i="10"/>
  <c r="C4" i="10"/>
  <c r="E7" i="10" l="1"/>
  <c r="H9" i="10"/>
  <c r="E4" i="10"/>
  <c r="E5" i="10"/>
  <c r="E6" i="10"/>
  <c r="G9" i="10"/>
  <c r="D9" i="10"/>
  <c r="E3" i="10"/>
  <c r="C9" i="10"/>
  <c r="E9" i="10" l="1"/>
  <c r="F4" i="10" l="1"/>
  <c r="F3" i="10"/>
  <c r="F7" i="10"/>
  <c r="F5" i="10"/>
  <c r="F6" i="10"/>
  <c r="F9" i="10" l="1"/>
  <c r="F10" i="10" s="1"/>
  <c r="T10" i="2" l="1"/>
  <c r="AE4" i="2" l="1"/>
  <c r="H7" i="1" s="1"/>
  <c r="T11" i="2"/>
  <c r="T7" i="2"/>
  <c r="J8" i="1"/>
  <c r="I8" i="1"/>
  <c r="E8" i="1"/>
  <c r="D8" i="1"/>
  <c r="C8" i="1"/>
  <c r="J7" i="1"/>
  <c r="I7" i="1"/>
  <c r="D7" i="1"/>
  <c r="C7" i="1"/>
  <c r="G7" i="1" l="1"/>
  <c r="G8" i="1"/>
  <c r="H8" i="1"/>
  <c r="H10" i="1" s="1"/>
  <c r="U11" i="2"/>
  <c r="E7" i="1"/>
  <c r="E10" i="1" s="1"/>
  <c r="R4" i="2"/>
  <c r="K8" i="1"/>
  <c r="J10" i="1"/>
  <c r="K7" i="1"/>
  <c r="C10" i="1"/>
  <c r="D10" i="1"/>
  <c r="F8" i="1"/>
  <c r="I10" i="1"/>
  <c r="M4" i="2"/>
  <c r="U7" i="2"/>
  <c r="U10" i="2"/>
  <c r="G10" i="1" l="1"/>
  <c r="C22" i="12"/>
  <c r="C21" i="12"/>
  <c r="C20" i="12"/>
  <c r="E23" i="12"/>
  <c r="D23" i="12"/>
  <c r="F23" i="12"/>
  <c r="D22" i="12"/>
  <c r="F21" i="12"/>
  <c r="D21" i="12"/>
  <c r="F20" i="12"/>
  <c r="D20" i="12"/>
  <c r="E21" i="12"/>
  <c r="E20" i="12"/>
  <c r="F22" i="12"/>
  <c r="E22" i="12"/>
  <c r="F14" i="12"/>
  <c r="D13" i="12"/>
  <c r="D16" i="12"/>
  <c r="E13" i="12"/>
  <c r="D15" i="12"/>
  <c r="C23" i="12"/>
  <c r="F16" i="12"/>
  <c r="E16" i="12"/>
  <c r="D14" i="12"/>
  <c r="F13" i="12"/>
  <c r="E15" i="12"/>
  <c r="C14" i="12"/>
  <c r="E14" i="12"/>
  <c r="C15" i="12"/>
  <c r="C16" i="12"/>
  <c r="C13" i="12"/>
  <c r="F15" i="12"/>
  <c r="T4" i="2"/>
  <c r="F7" i="1"/>
  <c r="F10" i="1" s="1"/>
  <c r="K10" i="1"/>
  <c r="C28" i="12" l="1"/>
  <c r="C29" i="12"/>
  <c r="F29" i="12"/>
  <c r="G22" i="12"/>
  <c r="F28" i="12"/>
  <c r="G23" i="12"/>
  <c r="F30" i="12"/>
  <c r="G20" i="12"/>
  <c r="E24" i="12"/>
  <c r="D29" i="12"/>
  <c r="G21" i="12"/>
  <c r="F24" i="12"/>
  <c r="C30" i="12"/>
  <c r="E29" i="12"/>
  <c r="G15" i="12"/>
  <c r="D30" i="12"/>
  <c r="D28" i="12"/>
  <c r="D27" i="12"/>
  <c r="D17" i="12"/>
  <c r="G16" i="12"/>
  <c r="E30" i="12"/>
  <c r="C24" i="12"/>
  <c r="G14" i="12"/>
  <c r="E28" i="12"/>
  <c r="C27" i="12"/>
  <c r="C17" i="12"/>
  <c r="F27" i="12"/>
  <c r="F17" i="12"/>
  <c r="G13" i="12"/>
  <c r="E17" i="12"/>
  <c r="E27" i="12"/>
  <c r="D24" i="12"/>
  <c r="U4" i="2"/>
  <c r="Z3" i="2" s="1"/>
  <c r="G29" i="12" l="1"/>
  <c r="F31" i="12"/>
  <c r="D31" i="12"/>
  <c r="G30" i="12"/>
  <c r="G28" i="12"/>
  <c r="C31" i="12"/>
  <c r="G24" i="12"/>
  <c r="E31" i="12"/>
  <c r="G27" i="12"/>
  <c r="G17" i="12"/>
  <c r="G31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======
ID#AAABdptHK-s
USUARIO    (2025-02-11 16:22:43)
+ abonamos de menos, - abonamos de mas</t>
        </r>
      </text>
    </comment>
    <comment ref="F6" authorId="0" shapeId="0" xr:uid="{00000000-0006-0000-0100-00000C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ID#AAABdptHK-U
</t>
        </r>
        <r>
          <rPr>
            <sz val="11"/>
            <color rgb="FF000000"/>
            <rFont val="Calibri"/>
            <family val="2"/>
          </rPr>
          <t xml:space="preserve">USUARIO    (2025-02-11 16:22:43)
</t>
        </r>
        <r>
          <rPr>
            <sz val="11"/>
            <color rgb="FF000000"/>
            <rFont val="Calibri"/>
            <family val="2"/>
          </rPr>
          <t>Montse, Adri</t>
        </r>
      </text>
    </comment>
    <comment ref="G6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======
ID#AAABdptHK-0
USUARIO    (2025-02-11 16:22:43)
Montse, Adri</t>
        </r>
      </text>
    </comment>
    <comment ref="H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======
ID#AAABdptHK-4
USUARIO    (2025-02-11 16:22:43)
Montse, Adri</t>
        </r>
      </text>
    </comment>
    <comment ref="J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======
ID#AAABdptHK-w
USUARIO    (2025-02-11 16:22:43)
Montse, Adri</t>
        </r>
      </text>
    </comment>
    <comment ref="L6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======
ID#AAABdptHK9w
USUARIO    (2025-02-11 16:22:43)
Montse, Adri</t>
        </r>
      </text>
    </comment>
    <comment ref="O6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======
ID#AAABdptHK-g
USUARIO    (2025-02-11 16:22:43)
Montserrat Mondragón, Adri</t>
        </r>
      </text>
    </comment>
    <comment ref="P6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======
ID#AAABdptHK-k
USUARIO    (2025-02-11 16:22:43)
Montserrat Mondragón, Adri</t>
        </r>
      </text>
    </comment>
    <comment ref="Q6" authorId="0" shapeId="0" xr:uid="{A27628B1-28DE-42D1-92E0-373241F4FC0C}">
      <text>
        <r>
          <rPr>
            <sz val="11"/>
            <color theme="1"/>
            <rFont val="Calibri"/>
            <family val="2"/>
            <scheme val="minor"/>
          </rPr>
          <t>======
ID#AAABdptHK-k
USUARIO    (2025-02-11 16:22:43)
Montserrat Mondragón, Adri</t>
        </r>
      </text>
    </comment>
    <comment ref="R6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======
ID#AAABdptHK-M
USUARIO    (2025-02-11 16:22:43)
Montserrat Mondragón, Adri</t>
        </r>
      </text>
    </comment>
    <comment ref="S6" authorId="0" shapeId="0" xr:uid="{9CC49288-681A-4EC7-AFB4-2C315F2D54F7}">
      <text>
        <r>
          <rPr>
            <sz val="11"/>
            <color theme="1"/>
            <rFont val="Calibri"/>
            <family val="2"/>
            <scheme val="minor"/>
          </rPr>
          <t>======
ID#AAABdptHK-M
USUARIO    (2025-02-11 16:22:43)
Montserrat Mondragón, Adri</t>
        </r>
      </text>
    </comment>
    <comment ref="U6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======
ID#AAABdptHK94
USUARIO    (2025-02-11 16:22:43)
Lo pone Finanzas</t>
        </r>
      </text>
    </comment>
    <comment ref="V6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======
ID#AAABdptHK90
USUARIO    (2025-02-11 16:22:43)
La pone Potventa</t>
        </r>
      </text>
    </comment>
    <comment ref="W6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======
ID#AAABdptHK-Y
USUARIO    (2025-02-11 16:22:43)
Lo llena Postventa</t>
        </r>
      </text>
    </comment>
    <comment ref="X6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======
ID#AAABdptHK-o
USUARIO    (2025-02-11 16:22:43)
Lo Llena Finanzas</t>
        </r>
      </text>
    </comment>
    <comment ref="Y6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======
ID#AAABdptHK98
USUARIO    (2025-02-11 16:22:43)
Lo pone Finanzas</t>
        </r>
      </text>
    </comment>
    <comment ref="AC6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======
ID#AAABdptHK-I
USUARIO    (2025-02-11 16:22:43)
Poner fecha de escrituración</t>
        </r>
      </text>
    </comment>
  </commentList>
</comments>
</file>

<file path=xl/sharedStrings.xml><?xml version="1.0" encoding="utf-8"?>
<sst xmlns="http://schemas.openxmlformats.org/spreadsheetml/2006/main" count="2843" uniqueCount="926">
  <si>
    <t>ESTATUS UNIDADES PARA ENTREGA</t>
  </si>
  <si>
    <t>ENTREGADAS A PVTA</t>
  </si>
  <si>
    <t>UNIDADES</t>
  </si>
  <si>
    <t>VTAS USD</t>
  </si>
  <si>
    <t>COB USD</t>
  </si>
  <si>
    <t>X COB USD</t>
  </si>
  <si>
    <t>RECIBIDO</t>
  </si>
  <si>
    <t>ENTREGADO</t>
  </si>
  <si>
    <t>X COB REC USD</t>
  </si>
  <si>
    <t>VAL LIB USD</t>
  </si>
  <si>
    <t>DIF</t>
  </si>
  <si>
    <t>SOLD</t>
  </si>
  <si>
    <t>AVAILABLE</t>
  </si>
  <si>
    <t>TOTALES</t>
  </si>
  <si>
    <t>Relación de Departamentos para entrega</t>
  </si>
  <si>
    <t>CREDITO</t>
  </si>
  <si>
    <t>VENTAS</t>
  </si>
  <si>
    <t>BANCO</t>
  </si>
  <si>
    <t>LEGAL</t>
  </si>
  <si>
    <t>POSTVENTA</t>
  </si>
  <si>
    <t>No.</t>
  </si>
  <si>
    <t>DEPTO</t>
  </si>
  <si>
    <t>TYPE</t>
  </si>
  <si>
    <t>NOMBRE (S)</t>
  </si>
  <si>
    <t>APELLIDO 1</t>
  </si>
  <si>
    <t>APELLIDO 2</t>
  </si>
  <si>
    <t>ALIAS / RAZON SOCIAL</t>
  </si>
  <si>
    <t>@mail</t>
  </si>
  <si>
    <t>LADA</t>
  </si>
  <si>
    <t>Telefono</t>
  </si>
  <si>
    <t>TIPO CLIENTE</t>
  </si>
  <si>
    <t>TIPO CONTRATO</t>
  </si>
  <si>
    <t>STATUS SISTEMA</t>
  </si>
  <si>
    <t>Monto Venta</t>
  </si>
  <si>
    <t>PAGADO</t>
  </si>
  <si>
    <t>SALDO</t>
  </si>
  <si>
    <t>SALDO MN</t>
  </si>
  <si>
    <t>FECHA COBRO SALDO</t>
  </si>
  <si>
    <t>FORMA PAGO</t>
  </si>
  <si>
    <t>VALOR LIBERACION</t>
  </si>
  <si>
    <t>PAGADO LIBERACION</t>
  </si>
  <si>
    <t>X PAGAR</t>
  </si>
  <si>
    <t>FECHA LIBERACIÓN</t>
  </si>
  <si>
    <t>ESCRITURACION</t>
  </si>
  <si>
    <t>FECHA ESCRITURACION</t>
  </si>
  <si>
    <t>NOTARIA</t>
  </si>
  <si>
    <t>STATUS SOS</t>
  </si>
  <si>
    <t>FECHA SEGÚN CONTRATO</t>
  </si>
  <si>
    <t>ÚLTIMO CONTACTO SOS</t>
  </si>
  <si>
    <t>FECHA ENTREGA OBRA</t>
  </si>
  <si>
    <t>FECHA ENTREGA CLIENTE</t>
  </si>
  <si>
    <t>COMENTARIOS</t>
  </si>
  <si>
    <t>TICKET</t>
  </si>
  <si>
    <t>RETA</t>
  </si>
  <si>
    <t xml:space="preserve"> WINGER</t>
  </si>
  <si>
    <t>CREDITO RETA</t>
  </si>
  <si>
    <t>MARY MEI - LING</t>
  </si>
  <si>
    <t xml:space="preserve"> LIN</t>
  </si>
  <si>
    <t>GENERAL</t>
  </si>
  <si>
    <t xml:space="preserve"> NELSON</t>
  </si>
  <si>
    <t xml:space="preserve"> CIHAK</t>
  </si>
  <si>
    <t>MICHAEL JAMES</t>
  </si>
  <si>
    <t xml:space="preserve"> GOLDSMITH</t>
  </si>
  <si>
    <t>BRIAN</t>
  </si>
  <si>
    <t xml:space="preserve"> HARDY</t>
  </si>
  <si>
    <t xml:space="preserve"> FLORES</t>
  </si>
  <si>
    <t xml:space="preserve"> AYALA</t>
  </si>
  <si>
    <t xml:space="preserve"> CASTRO</t>
  </si>
  <si>
    <t>PATRICIA</t>
  </si>
  <si>
    <t xml:space="preserve"> GONZALEZ</t>
  </si>
  <si>
    <t xml:space="preserve"> JOHNSON</t>
  </si>
  <si>
    <t xml:space="preserve">PAMELA ANNE </t>
  </si>
  <si>
    <t xml:space="preserve"> SCHNEIDER</t>
  </si>
  <si>
    <t xml:space="preserve"> HENRY</t>
  </si>
  <si>
    <t>JAMES ROBERT</t>
  </si>
  <si>
    <t>RICHARD</t>
  </si>
  <si>
    <t xml:space="preserve"> SEBO</t>
  </si>
  <si>
    <t xml:space="preserve"> CRUZ</t>
  </si>
  <si>
    <t>D1</t>
  </si>
  <si>
    <t xml:space="preserve"> VEGA</t>
  </si>
  <si>
    <t>CRUZ</t>
  </si>
  <si>
    <t>BENJIMAN DWAYNE</t>
  </si>
  <si>
    <t xml:space="preserve"> READ</t>
  </si>
  <si>
    <t>C2</t>
  </si>
  <si>
    <t>JAMES ALLEN</t>
  </si>
  <si>
    <t>VALERIE LYNN</t>
  </si>
  <si>
    <t xml:space="preserve"> DORSETT</t>
  </si>
  <si>
    <t>D2</t>
  </si>
  <si>
    <t xml:space="preserve"> SPRINGER</t>
  </si>
  <si>
    <t>MICHAEL DAVIS</t>
  </si>
  <si>
    <t xml:space="preserve"> FOX</t>
  </si>
  <si>
    <t xml:space="preserve"> EAKIN</t>
  </si>
  <si>
    <t xml:space="preserve"> DHALLA</t>
  </si>
  <si>
    <t xml:space="preserve"> GOMEZ</t>
  </si>
  <si>
    <t>MARINA</t>
  </si>
  <si>
    <t>LEONEL</t>
  </si>
  <si>
    <t>SERGIO</t>
  </si>
  <si>
    <t>RODRIGUEZ</t>
  </si>
  <si>
    <t>FRANCISCO JAVIER</t>
  </si>
  <si>
    <t xml:space="preserve"> ORTIZ</t>
  </si>
  <si>
    <t xml:space="preserve"> MARTINEZ</t>
  </si>
  <si>
    <t>ENTREGA PRIORITARIA</t>
  </si>
  <si>
    <t>ENTREGA SECUNDARIA NEGOCIADA CON DIRECCION</t>
  </si>
  <si>
    <t>NO SE PROGRAMA, HASTA AVISO DE DIRECCION</t>
  </si>
  <si>
    <t>VENDIDO URGENTE ACABAR Y ENTREGAR A CUSTODIA</t>
  </si>
  <si>
    <t>FECHA SOS</t>
  </si>
  <si>
    <t>SUPERAVIT/DEFICIT</t>
  </si>
  <si>
    <t>SALDO USD</t>
  </si>
  <si>
    <t>EDIFICIO</t>
  </si>
  <si>
    <t>A</t>
  </si>
  <si>
    <t>B</t>
  </si>
  <si>
    <t>C</t>
  </si>
  <si>
    <t>D</t>
  </si>
  <si>
    <t>E</t>
  </si>
  <si>
    <t>ENT OBRA A POSTV</t>
  </si>
  <si>
    <t>ENT A CTES</t>
  </si>
  <si>
    <t>CUST X ENTREG</t>
  </si>
  <si>
    <t>Bonanza</t>
  </si>
  <si>
    <t>MONTO DE VENTA USD</t>
  </si>
  <si>
    <t>MONTO DE VENTA MN</t>
  </si>
  <si>
    <t>PAGADO USD</t>
  </si>
  <si>
    <t>PAGADO MN</t>
  </si>
  <si>
    <t>B-01</t>
  </si>
  <si>
    <t>B-04</t>
  </si>
  <si>
    <t>B-05</t>
  </si>
  <si>
    <t>B-06</t>
  </si>
  <si>
    <t>B-07</t>
  </si>
  <si>
    <t>B-08</t>
  </si>
  <si>
    <t>B-09</t>
  </si>
  <si>
    <t>B-13</t>
  </si>
  <si>
    <t>B-19</t>
  </si>
  <si>
    <t>B-301</t>
  </si>
  <si>
    <t>B-302</t>
  </si>
  <si>
    <t>B-303</t>
  </si>
  <si>
    <t>B-305</t>
  </si>
  <si>
    <t>B-306</t>
  </si>
  <si>
    <t>B-307</t>
  </si>
  <si>
    <t>B-308</t>
  </si>
  <si>
    <t>B-309</t>
  </si>
  <si>
    <t>B-310</t>
  </si>
  <si>
    <t>B-311</t>
  </si>
  <si>
    <t>B-312</t>
  </si>
  <si>
    <t>B-313</t>
  </si>
  <si>
    <t>B-314</t>
  </si>
  <si>
    <t>B-315</t>
  </si>
  <si>
    <t>B-316</t>
  </si>
  <si>
    <t>B-317</t>
  </si>
  <si>
    <t>B-402</t>
  </si>
  <si>
    <t>B-403</t>
  </si>
  <si>
    <t>B-405</t>
  </si>
  <si>
    <t>B-406</t>
  </si>
  <si>
    <t>B-407</t>
  </si>
  <si>
    <t>B-408</t>
  </si>
  <si>
    <t>B-410</t>
  </si>
  <si>
    <t>B-411</t>
  </si>
  <si>
    <t>B-412</t>
  </si>
  <si>
    <t>B-414</t>
  </si>
  <si>
    <t>B-415</t>
  </si>
  <si>
    <t>B-416</t>
  </si>
  <si>
    <t>B-417</t>
  </si>
  <si>
    <t>B-501</t>
  </si>
  <si>
    <t>B-502</t>
  </si>
  <si>
    <t>B-503</t>
  </si>
  <si>
    <t>B-505</t>
  </si>
  <si>
    <t>B-506</t>
  </si>
  <si>
    <t>B-507</t>
  </si>
  <si>
    <t>B-508</t>
  </si>
  <si>
    <t>B-509</t>
  </si>
  <si>
    <t>B-510</t>
  </si>
  <si>
    <t>B-511</t>
  </si>
  <si>
    <t>B-512</t>
  </si>
  <si>
    <t>B-515</t>
  </si>
  <si>
    <t>B-516</t>
  </si>
  <si>
    <t>B-517</t>
  </si>
  <si>
    <t>B-601</t>
  </si>
  <si>
    <t>B-602</t>
  </si>
  <si>
    <t>B-603</t>
  </si>
  <si>
    <t>B-604</t>
  </si>
  <si>
    <t>B-605</t>
  </si>
  <si>
    <t>B-606</t>
  </si>
  <si>
    <t>B-607</t>
  </si>
  <si>
    <t>B-608</t>
  </si>
  <si>
    <t>B-609</t>
  </si>
  <si>
    <t>B-610</t>
  </si>
  <si>
    <t>B-611</t>
  </si>
  <si>
    <t>B-612</t>
  </si>
  <si>
    <t>B-614</t>
  </si>
  <si>
    <t>B-615</t>
  </si>
  <si>
    <t>B-616</t>
  </si>
  <si>
    <t>B-617</t>
  </si>
  <si>
    <t>B-701</t>
  </si>
  <si>
    <t>B-702</t>
  </si>
  <si>
    <t>B-703</t>
  </si>
  <si>
    <t>B-706</t>
  </si>
  <si>
    <t>B-707</t>
  </si>
  <si>
    <t>B-708</t>
  </si>
  <si>
    <t>B-709</t>
  </si>
  <si>
    <t>B-710</t>
  </si>
  <si>
    <t>B-712</t>
  </si>
  <si>
    <t>B-714</t>
  </si>
  <si>
    <t>B-715</t>
  </si>
  <si>
    <t>B-716</t>
  </si>
  <si>
    <t>B-717</t>
  </si>
  <si>
    <t>B-802</t>
  </si>
  <si>
    <t>B-803</t>
  </si>
  <si>
    <t>B-804</t>
  </si>
  <si>
    <t>B-805</t>
  </si>
  <si>
    <t>B-807</t>
  </si>
  <si>
    <t>B-808</t>
  </si>
  <si>
    <t>B-810</t>
  </si>
  <si>
    <t>B-812</t>
  </si>
  <si>
    <t>B-813</t>
  </si>
  <si>
    <t>B-814</t>
  </si>
  <si>
    <t>B-816</t>
  </si>
  <si>
    <t>B-901</t>
  </si>
  <si>
    <t>B-904</t>
  </si>
  <si>
    <t>B-905</t>
  </si>
  <si>
    <t>B-906</t>
  </si>
  <si>
    <t>B-907</t>
  </si>
  <si>
    <t>B-908</t>
  </si>
  <si>
    <t>B-910</t>
  </si>
  <si>
    <t>B-911</t>
  </si>
  <si>
    <t>B-913</t>
  </si>
  <si>
    <t>B-914</t>
  </si>
  <si>
    <t>B-1003</t>
  </si>
  <si>
    <t>B-1004</t>
  </si>
  <si>
    <t>B-1005</t>
  </si>
  <si>
    <t>B-1007</t>
  </si>
  <si>
    <t>B-1008</t>
  </si>
  <si>
    <t>B-1010</t>
  </si>
  <si>
    <t>B-1011</t>
  </si>
  <si>
    <t>B-1013</t>
  </si>
  <si>
    <t>B-1014</t>
  </si>
  <si>
    <t>B-1201</t>
  </si>
  <si>
    <t>B-1204</t>
  </si>
  <si>
    <t>B-1205</t>
  </si>
  <si>
    <t>B-1206</t>
  </si>
  <si>
    <t>B-1207</t>
  </si>
  <si>
    <t>B-1208</t>
  </si>
  <si>
    <t>B-1209</t>
  </si>
  <si>
    <t>B-1210</t>
  </si>
  <si>
    <t>B-1212</t>
  </si>
  <si>
    <t>B-1213</t>
  </si>
  <si>
    <t>B-1216</t>
  </si>
  <si>
    <t>B-1217</t>
  </si>
  <si>
    <t>CHRISTOPHER MICHAEL</t>
  </si>
  <si>
    <t xml:space="preserve"> DAVIS</t>
  </si>
  <si>
    <t>JOHN MARK</t>
  </si>
  <si>
    <t xml:space="preserve"> JONES</t>
  </si>
  <si>
    <t>ROBERT NEAL</t>
  </si>
  <si>
    <t xml:space="preserve"> WILLIAMS JR</t>
  </si>
  <si>
    <t>JASON</t>
  </si>
  <si>
    <t xml:space="preserve"> TODT</t>
  </si>
  <si>
    <t xml:space="preserve">ROBERT ANTHONY </t>
  </si>
  <si>
    <t xml:space="preserve"> PALMA</t>
  </si>
  <si>
    <t>MCGREGOR</t>
  </si>
  <si>
    <t xml:space="preserve"> MARGARET</t>
  </si>
  <si>
    <t>ROBERT MILES</t>
  </si>
  <si>
    <t xml:space="preserve"> GILLESPIE</t>
  </si>
  <si>
    <t>CYNTHIA MARY</t>
  </si>
  <si>
    <t xml:space="preserve"> DICKINS COLLIN SMITH</t>
  </si>
  <si>
    <t>MICHAEL</t>
  </si>
  <si>
    <t xml:space="preserve"> JENSEN</t>
  </si>
  <si>
    <t>GERARD j</t>
  </si>
  <si>
    <t xml:space="preserve"> HEALEY</t>
  </si>
  <si>
    <t>CRAIG OLIVER</t>
  </si>
  <si>
    <t xml:space="preserve"> CHRISTIANSON</t>
  </si>
  <si>
    <t>VINCENT</t>
  </si>
  <si>
    <t xml:space="preserve"> FONSECA</t>
  </si>
  <si>
    <t>JOHN WAYLAND</t>
  </si>
  <si>
    <t xml:space="preserve"> SLAUGHTER</t>
  </si>
  <si>
    <t>CAROL ANN</t>
  </si>
  <si>
    <t xml:space="preserve"> ROBERTS</t>
  </si>
  <si>
    <t>RANDY NEIL</t>
  </si>
  <si>
    <t xml:space="preserve"> YEAGER</t>
  </si>
  <si>
    <t xml:space="preserve">Robert Glenn </t>
  </si>
  <si>
    <t xml:space="preserve"> GOOGE</t>
  </si>
  <si>
    <t>JORGE</t>
  </si>
  <si>
    <t xml:space="preserve"> QUINONES VELEZ</t>
  </si>
  <si>
    <t>JOSEPH LEONARD</t>
  </si>
  <si>
    <t xml:space="preserve"> UMIDI</t>
  </si>
  <si>
    <t>NICK DELANO</t>
  </si>
  <si>
    <t xml:space="preserve"> DE BARMORE</t>
  </si>
  <si>
    <t>DANNIEL JOHN</t>
  </si>
  <si>
    <t>MICHAEL DAVID</t>
  </si>
  <si>
    <t xml:space="preserve"> LENKER</t>
  </si>
  <si>
    <t>CARMINE</t>
  </si>
  <si>
    <t xml:space="preserve"> MITRONI</t>
  </si>
  <si>
    <t>EDWARD PAUL</t>
  </si>
  <si>
    <t xml:space="preserve"> KOZEK</t>
  </si>
  <si>
    <t>KIRSTEN LEIGH</t>
  </si>
  <si>
    <t xml:space="preserve"> HELD</t>
  </si>
  <si>
    <t>NIKI</t>
  </si>
  <si>
    <t xml:space="preserve"> PASRICHA</t>
  </si>
  <si>
    <t>PATRISHA LYNN</t>
  </si>
  <si>
    <t xml:space="preserve"> EDGERTON</t>
  </si>
  <si>
    <t xml:space="preserve">PATRICK louis </t>
  </si>
  <si>
    <t xml:space="preserve"> NALLY</t>
  </si>
  <si>
    <t>CLAYTON L</t>
  </si>
  <si>
    <t xml:space="preserve"> BRANUM</t>
  </si>
  <si>
    <t>THOMAS CHARLES</t>
  </si>
  <si>
    <t xml:space="preserve"> DUNNE</t>
  </si>
  <si>
    <t xml:space="preserve"> MC GONNELL</t>
  </si>
  <si>
    <t>DECLAN RONAN</t>
  </si>
  <si>
    <t xml:space="preserve"> O'CLEIRIGH</t>
  </si>
  <si>
    <t xml:space="preserve"> SANTA GUIDA</t>
  </si>
  <si>
    <t xml:space="preserve"> ANTONICK</t>
  </si>
  <si>
    <t>ZANDRA</t>
  </si>
  <si>
    <t>RAYMOND PAUL</t>
  </si>
  <si>
    <t xml:space="preserve"> DETHLOFF jr</t>
  </si>
  <si>
    <t>BRIAN DANIEL</t>
  </si>
  <si>
    <t xml:space="preserve"> BAILEY</t>
  </si>
  <si>
    <t>SUSAN KNAUSE</t>
  </si>
  <si>
    <t xml:space="preserve"> PETRICK</t>
  </si>
  <si>
    <t>RUSSELL ARTHUR</t>
  </si>
  <si>
    <t xml:space="preserve"> GLENN</t>
  </si>
  <si>
    <t>GREGORY EDWARD</t>
  </si>
  <si>
    <t xml:space="preserve"> PEACOCK</t>
  </si>
  <si>
    <t xml:space="preserve"> NATELSON</t>
  </si>
  <si>
    <t>HENRY JOHN</t>
  </si>
  <si>
    <t xml:space="preserve"> KUNKEL</t>
  </si>
  <si>
    <t xml:space="preserve">ZACHARY ADAM </t>
  </si>
  <si>
    <t>THOMAS SHAWN</t>
  </si>
  <si>
    <t xml:space="preserve"> GRADY</t>
  </si>
  <si>
    <t xml:space="preserve">MARVIN MERLE </t>
  </si>
  <si>
    <t xml:space="preserve"> NEWTON III</t>
  </si>
  <si>
    <t>RAYMOND HIROSHI</t>
  </si>
  <si>
    <t xml:space="preserve"> AKA</t>
  </si>
  <si>
    <t xml:space="preserve"> SHAH</t>
  </si>
  <si>
    <t>MICHAEL stephen</t>
  </si>
  <si>
    <t xml:space="preserve"> GRIFFITH</t>
  </si>
  <si>
    <t>TROY ALAN</t>
  </si>
  <si>
    <t xml:space="preserve"> MILLS</t>
  </si>
  <si>
    <t>SYLVIA AMY</t>
  </si>
  <si>
    <t xml:space="preserve"> SCHAFER</t>
  </si>
  <si>
    <t>CONSTANTINOS</t>
  </si>
  <si>
    <t xml:space="preserve"> KRASHIAS</t>
  </si>
  <si>
    <t>MICHAEL COLLINS</t>
  </si>
  <si>
    <t xml:space="preserve"> WAGNER</t>
  </si>
  <si>
    <t>CHARLES DAVID</t>
  </si>
  <si>
    <t xml:space="preserve"> WILDER</t>
  </si>
  <si>
    <t>KATHERINE</t>
  </si>
  <si>
    <t xml:space="preserve"> DARLING</t>
  </si>
  <si>
    <t>DAVID kenneth</t>
  </si>
  <si>
    <t xml:space="preserve"> MCDONALD</t>
  </si>
  <si>
    <t>EDWIN DEAN</t>
  </si>
  <si>
    <t xml:space="preserve"> SCHUYLER</t>
  </si>
  <si>
    <t>FAIZAL</t>
  </si>
  <si>
    <t>CRAIG WILLIAM</t>
  </si>
  <si>
    <t xml:space="preserve"> BEAL</t>
  </si>
  <si>
    <t>LEE SHERRY</t>
  </si>
  <si>
    <t xml:space="preserve"> LAUGHMAN</t>
  </si>
  <si>
    <t>JOSEPH GERALD</t>
  </si>
  <si>
    <t>THOMAS TEOFIL</t>
  </si>
  <si>
    <t xml:space="preserve"> HRUSOVSKY</t>
  </si>
  <si>
    <t>JAYME SALISBURY</t>
  </si>
  <si>
    <t xml:space="preserve"> WILSON</t>
  </si>
  <si>
    <t>KENT MARSHALL</t>
  </si>
  <si>
    <t xml:space="preserve"> WHITE</t>
  </si>
  <si>
    <t>STEVEN TODD</t>
  </si>
  <si>
    <t>JAMES DONALD</t>
  </si>
  <si>
    <t xml:space="preserve"> SLIPSAGER  II</t>
  </si>
  <si>
    <t>ALEXANDER</t>
  </si>
  <si>
    <t xml:space="preserve"> GREGORY</t>
  </si>
  <si>
    <t>LAURA IRENE</t>
  </si>
  <si>
    <t xml:space="preserve"> PAUL</t>
  </si>
  <si>
    <t xml:space="preserve">JAMES CLARK </t>
  </si>
  <si>
    <t xml:space="preserve"> PLEXICO</t>
  </si>
  <si>
    <t>TROY JAMES</t>
  </si>
  <si>
    <t xml:space="preserve"> LETSCHE</t>
  </si>
  <si>
    <t>JANA</t>
  </si>
  <si>
    <t xml:space="preserve"> HAMMOND</t>
  </si>
  <si>
    <t>MARK DOUGLAS</t>
  </si>
  <si>
    <t xml:space="preserve"> HUNTER</t>
  </si>
  <si>
    <t>MARIO</t>
  </si>
  <si>
    <t xml:space="preserve"> BESSETTE</t>
  </si>
  <si>
    <t>PATRICIA DOLORES</t>
  </si>
  <si>
    <t xml:space="preserve"> O'CONNELL</t>
  </si>
  <si>
    <t>LARRY SMOND</t>
  </si>
  <si>
    <t xml:space="preserve"> DOUCHAND</t>
  </si>
  <si>
    <t>JAMES MICHAEL</t>
  </si>
  <si>
    <t xml:space="preserve"> MALONE</t>
  </si>
  <si>
    <t>MEDHAT</t>
  </si>
  <si>
    <t xml:space="preserve"> EL-FAIZY</t>
  </si>
  <si>
    <t>JUAN FELIPE</t>
  </si>
  <si>
    <t xml:space="preserve"> DUQUE</t>
  </si>
  <si>
    <t>KEVIN ROBERT</t>
  </si>
  <si>
    <t xml:space="preserve"> RANKIN</t>
  </si>
  <si>
    <t>VLADIMIR BORISOVICH</t>
  </si>
  <si>
    <t xml:space="preserve"> FIKS</t>
  </si>
  <si>
    <t>ROBERT KYLE</t>
  </si>
  <si>
    <t xml:space="preserve"> BARNETT</t>
  </si>
  <si>
    <t>KENNETH JOHN</t>
  </si>
  <si>
    <t xml:space="preserve"> SCHMITT</t>
  </si>
  <si>
    <t>EDWARD Locke</t>
  </si>
  <si>
    <t xml:space="preserve"> DUNN</t>
  </si>
  <si>
    <t>JONATHAN HArdy</t>
  </si>
  <si>
    <t xml:space="preserve"> WORRALL</t>
  </si>
  <si>
    <t>FREDD JOSEPH</t>
  </si>
  <si>
    <t xml:space="preserve"> HAAS</t>
  </si>
  <si>
    <t xml:space="preserve">ROBIN REGINALD REYNOLDS </t>
  </si>
  <si>
    <t>NEIL WAYNE</t>
  </si>
  <si>
    <t xml:space="preserve"> MURDOCH</t>
  </si>
  <si>
    <t>CONRAD SCOTT</t>
  </si>
  <si>
    <t xml:space="preserve"> TONER</t>
  </si>
  <si>
    <t>ANDY SCOTT</t>
  </si>
  <si>
    <t xml:space="preserve"> MATTOX</t>
  </si>
  <si>
    <t>CHARMAINE</t>
  </si>
  <si>
    <t xml:space="preserve"> BROOKS</t>
  </si>
  <si>
    <t>DENNIS john</t>
  </si>
  <si>
    <t>BRUCE MERRILL</t>
  </si>
  <si>
    <t xml:space="preserve"> ARINAGA</t>
  </si>
  <si>
    <t xml:space="preserve">CHARLES ROBERT </t>
  </si>
  <si>
    <t xml:space="preserve"> RICHARDSON</t>
  </si>
  <si>
    <t xml:space="preserve">TERESA </t>
  </si>
  <si>
    <t>RUSSELL LAWRENCE</t>
  </si>
  <si>
    <t xml:space="preserve"> ANDERSON</t>
  </si>
  <si>
    <t xml:space="preserve">beverly ann </t>
  </si>
  <si>
    <t xml:space="preserve"> benmoussa</t>
  </si>
  <si>
    <t>D'ANN JOY</t>
  </si>
  <si>
    <t xml:space="preserve">MICHAEL ADAM </t>
  </si>
  <si>
    <t xml:space="preserve"> PRITTIE</t>
  </si>
  <si>
    <t>MARK R</t>
  </si>
  <si>
    <t xml:space="preserve"> VAN HEMERT</t>
  </si>
  <si>
    <t>DANIEL REX</t>
  </si>
  <si>
    <t xml:space="preserve"> RADUNZ</t>
  </si>
  <si>
    <t>DONAJI</t>
  </si>
  <si>
    <t>PATRICK MARK</t>
  </si>
  <si>
    <t>RAFAEL</t>
  </si>
  <si>
    <t>JAMES alan</t>
  </si>
  <si>
    <t xml:space="preserve"> HARPER</t>
  </si>
  <si>
    <t>FRANCIS EDWARD</t>
  </si>
  <si>
    <t xml:space="preserve"> FLORIO</t>
  </si>
  <si>
    <t>BRIAN MICHAEL</t>
  </si>
  <si>
    <t xml:space="preserve"> MC DERMOTT</t>
  </si>
  <si>
    <t>William edward</t>
  </si>
  <si>
    <t xml:space="preserve"> fehr</t>
  </si>
  <si>
    <t>RITA</t>
  </si>
  <si>
    <t xml:space="preserve"> KOTHARI</t>
  </si>
  <si>
    <t>CAROLYN</t>
  </si>
  <si>
    <t>ANTHONY</t>
  </si>
  <si>
    <t xml:space="preserve"> KOCHENASH</t>
  </si>
  <si>
    <t>JEFF JAMES</t>
  </si>
  <si>
    <t xml:space="preserve"> WUNDERLICH</t>
  </si>
  <si>
    <t xml:space="preserve"> COOK</t>
  </si>
  <si>
    <t>RETA OP FIN</t>
  </si>
  <si>
    <t>BO-02</t>
  </si>
  <si>
    <t>BO-03</t>
  </si>
  <si>
    <t>BO-10</t>
  </si>
  <si>
    <t>BO-1001</t>
  </si>
  <si>
    <t>BO-1002</t>
  </si>
  <si>
    <t>BO-1006</t>
  </si>
  <si>
    <t>BO-1009</t>
  </si>
  <si>
    <t>BO-1012</t>
  </si>
  <si>
    <t>BO-1015</t>
  </si>
  <si>
    <t>BO-1016</t>
  </si>
  <si>
    <t>BO-1017</t>
  </si>
  <si>
    <t>BO-11</t>
  </si>
  <si>
    <t>BO-1101</t>
  </si>
  <si>
    <t>BO-1102</t>
  </si>
  <si>
    <t>BO-1103</t>
  </si>
  <si>
    <t>BO-1104</t>
  </si>
  <si>
    <t>BO-1105</t>
  </si>
  <si>
    <t>BO-1106</t>
  </si>
  <si>
    <t>BO-1107</t>
  </si>
  <si>
    <t>BO-1108</t>
  </si>
  <si>
    <t>BO-1109</t>
  </si>
  <si>
    <t>BO-1110</t>
  </si>
  <si>
    <t>BO-1111</t>
  </si>
  <si>
    <t>BO-1112</t>
  </si>
  <si>
    <t>BO-1113</t>
  </si>
  <si>
    <t>BO-1114</t>
  </si>
  <si>
    <t>BO-1115</t>
  </si>
  <si>
    <t>BO-1116</t>
  </si>
  <si>
    <t>BO-1117</t>
  </si>
  <si>
    <t>BO-12</t>
  </si>
  <si>
    <t>BO-1202</t>
  </si>
  <si>
    <t>BO-1203</t>
  </si>
  <si>
    <t>BO-1211</t>
  </si>
  <si>
    <t>BO-1214</t>
  </si>
  <si>
    <t>BO-1215</t>
  </si>
  <si>
    <t>BO-14</t>
  </si>
  <si>
    <t>BO-15</t>
  </si>
  <si>
    <t>BO-16</t>
  </si>
  <si>
    <t>BO-17</t>
  </si>
  <si>
    <t>BO-18</t>
  </si>
  <si>
    <t>BO-20</t>
  </si>
  <si>
    <t>BO-21</t>
  </si>
  <si>
    <t>BO-304</t>
  </si>
  <si>
    <t>BO-401</t>
  </si>
  <si>
    <t>BO-404</t>
  </si>
  <si>
    <t>BO-409</t>
  </si>
  <si>
    <t>BO-413</t>
  </si>
  <si>
    <t>BO-504</t>
  </si>
  <si>
    <t>BO-513</t>
  </si>
  <si>
    <t>BO-514</t>
  </si>
  <si>
    <t>BO-613</t>
  </si>
  <si>
    <t>BO-704</t>
  </si>
  <si>
    <t>BO-705</t>
  </si>
  <si>
    <t>BO-711</t>
  </si>
  <si>
    <t>BO-713</t>
  </si>
  <si>
    <t>BO-801</t>
  </si>
  <si>
    <t>BO-806</t>
  </si>
  <si>
    <t>BO-809</t>
  </si>
  <si>
    <t>BO-811</t>
  </si>
  <si>
    <t>BO-815</t>
  </si>
  <si>
    <t>BO-817</t>
  </si>
  <si>
    <t>BO-902</t>
  </si>
  <si>
    <t>BO-903</t>
  </si>
  <si>
    <t>BO-909</t>
  </si>
  <si>
    <t>BO-912</t>
  </si>
  <si>
    <t>BO-915</t>
  </si>
  <si>
    <t>BO-916</t>
  </si>
  <si>
    <t>BO-917</t>
  </si>
  <si>
    <t xml:space="preserve">CLAUDIA </t>
  </si>
  <si>
    <t xml:space="preserve"> RASCON </t>
  </si>
  <si>
    <t>BUSTILLOS</t>
  </si>
  <si>
    <t xml:space="preserve"> RASCON</t>
  </si>
  <si>
    <t>MANUEL ENRIQUE</t>
  </si>
  <si>
    <t xml:space="preserve"> GARCIA </t>
  </si>
  <si>
    <t>GARZA</t>
  </si>
  <si>
    <t>JORGE ALFREDO</t>
  </si>
  <si>
    <t>PELAEZ</t>
  </si>
  <si>
    <t>MArK</t>
  </si>
  <si>
    <t xml:space="preserve"> STOLTZFUS</t>
  </si>
  <si>
    <t>RICARDO JESUS</t>
  </si>
  <si>
    <t xml:space="preserve"> HERRERA</t>
  </si>
  <si>
    <t>SARABIA</t>
  </si>
  <si>
    <t>FERNANDO ERIC</t>
  </si>
  <si>
    <t xml:space="preserve"> RUIZ</t>
  </si>
  <si>
    <t>OCHOA</t>
  </si>
  <si>
    <t>JUANA LETICIA</t>
  </si>
  <si>
    <t xml:space="preserve"> ROSALES</t>
  </si>
  <si>
    <t>HUERTA</t>
  </si>
  <si>
    <t>JOSE FERNANDO</t>
  </si>
  <si>
    <t>CANUDAS</t>
  </si>
  <si>
    <t>MARIA DEL ROSARIO</t>
  </si>
  <si>
    <t xml:space="preserve"> ROMERO</t>
  </si>
  <si>
    <t>SALAZAR</t>
  </si>
  <si>
    <t>eduardo</t>
  </si>
  <si>
    <t xml:space="preserve"> BARAJAS</t>
  </si>
  <si>
    <t>SANCHEZ</t>
  </si>
  <si>
    <t xml:space="preserve"> CLARO</t>
  </si>
  <si>
    <t>REYES</t>
  </si>
  <si>
    <t>HECTOR MANUEL</t>
  </si>
  <si>
    <t xml:space="preserve"> ARRILLAGA</t>
  </si>
  <si>
    <t>ESPINOSA</t>
  </si>
  <si>
    <t xml:space="preserve"> CARLA ALEJANDRA</t>
  </si>
  <si>
    <t xml:space="preserve"> SANCHEZ ARMAS</t>
  </si>
  <si>
    <t xml:space="preserve"> GARCIA</t>
  </si>
  <si>
    <t>MARIA DE LOURDES</t>
  </si>
  <si>
    <t xml:space="preserve"> IBARRA</t>
  </si>
  <si>
    <t>MOGUEL</t>
  </si>
  <si>
    <t xml:space="preserve">yan </t>
  </si>
  <si>
    <t xml:space="preserve"> leduc</t>
  </si>
  <si>
    <t xml:space="preserve">JAIME CECILIO </t>
  </si>
  <si>
    <t xml:space="preserve"> VILLANUEVA</t>
  </si>
  <si>
    <t xml:space="preserve">CABELLO </t>
  </si>
  <si>
    <t>CLAUDIA YANET</t>
  </si>
  <si>
    <t xml:space="preserve"> RAMOS</t>
  </si>
  <si>
    <t>PICASSO</t>
  </si>
  <si>
    <t>DENISE KARINA</t>
  </si>
  <si>
    <t xml:space="preserve"> VIVAS</t>
  </si>
  <si>
    <t>COLMENARES</t>
  </si>
  <si>
    <t>MAURICIO</t>
  </si>
  <si>
    <t xml:space="preserve"> TEJEDA</t>
  </si>
  <si>
    <t>MIRANDA</t>
  </si>
  <si>
    <t>THANIA NORELY</t>
  </si>
  <si>
    <t xml:space="preserve"> CHAVEZ</t>
  </si>
  <si>
    <t>RAUL ALEJANDRO</t>
  </si>
  <si>
    <t xml:space="preserve"> ARAÃšZO</t>
  </si>
  <si>
    <t>ROMERO</t>
  </si>
  <si>
    <t>GERARDO</t>
  </si>
  <si>
    <t>ROEL</t>
  </si>
  <si>
    <t>ALEJANDRA</t>
  </si>
  <si>
    <t xml:space="preserve"> VENEZIA </t>
  </si>
  <si>
    <t>JUANA ZULEMA</t>
  </si>
  <si>
    <t xml:space="preserve"> MORATO</t>
  </si>
  <si>
    <t>MAR</t>
  </si>
  <si>
    <t>JESÃšS RODRIGO</t>
  </si>
  <si>
    <t xml:space="preserve"> MATA</t>
  </si>
  <si>
    <t>PAREDES</t>
  </si>
  <si>
    <t>MICHAEL ROBERT</t>
  </si>
  <si>
    <t xml:space="preserve"> MADDY</t>
  </si>
  <si>
    <t>RITA MARIA</t>
  </si>
  <si>
    <t xml:space="preserve"> RIVAS</t>
  </si>
  <si>
    <t>CANTILLO</t>
  </si>
  <si>
    <t>MARTHA IDALIA</t>
  </si>
  <si>
    <t xml:space="preserve"> ALVARADO</t>
  </si>
  <si>
    <t xml:space="preserve">CHAVARRIA </t>
  </si>
  <si>
    <t xml:space="preserve"> VARGAS </t>
  </si>
  <si>
    <t>DEL TORO</t>
  </si>
  <si>
    <t>COLIN robert</t>
  </si>
  <si>
    <t xml:space="preserve"> CARRIE</t>
  </si>
  <si>
    <t>HABSY MARIA</t>
  </si>
  <si>
    <t xml:space="preserve"> AGUIRRE</t>
  </si>
  <si>
    <t>KURI</t>
  </si>
  <si>
    <t>EFRÃ‰N ALBERTO</t>
  </si>
  <si>
    <t xml:space="preserve"> SÃNCHEZ</t>
  </si>
  <si>
    <t>CAMPOS</t>
  </si>
  <si>
    <t>GIMER AUGURIO</t>
  </si>
  <si>
    <t xml:space="preserve"> PIÃ‘A</t>
  </si>
  <si>
    <t>HERRERA</t>
  </si>
  <si>
    <t>ADAN</t>
  </si>
  <si>
    <t>VILLA</t>
  </si>
  <si>
    <t>CAMERON ARTHUR</t>
  </si>
  <si>
    <t xml:space="preserve"> WILKES</t>
  </si>
  <si>
    <t>JORGE ADOLFO JOSE</t>
  </si>
  <si>
    <t xml:space="preserve"> BASTARRACHEA</t>
  </si>
  <si>
    <t>ORTIZ</t>
  </si>
  <si>
    <t>MONIQUE ram</t>
  </si>
  <si>
    <t xml:space="preserve"> HARITZALDE</t>
  </si>
  <si>
    <t>JEFFREY alexander</t>
  </si>
  <si>
    <t xml:space="preserve"> BRIDE</t>
  </si>
  <si>
    <t>HECTOR CESAR</t>
  </si>
  <si>
    <t xml:space="preserve"> DURAN</t>
  </si>
  <si>
    <t>VEGA</t>
  </si>
  <si>
    <t xml:space="preserve"> LOZANO</t>
  </si>
  <si>
    <t>MEADE</t>
  </si>
  <si>
    <t xml:space="preserve">STEPHEN FOLCKER </t>
  </si>
  <si>
    <t xml:space="preserve"> BOULAY</t>
  </si>
  <si>
    <t>JAIME EDUARDO</t>
  </si>
  <si>
    <t xml:space="preserve"> GARZA</t>
  </si>
  <si>
    <t>HERNANDEZ</t>
  </si>
  <si>
    <t>RAFAEL ALEJANDRO</t>
  </si>
  <si>
    <t xml:space="preserve"> VILLALOBOS</t>
  </si>
  <si>
    <t>REGUEIRA</t>
  </si>
  <si>
    <t>ALEJANDRO ANATOLI</t>
  </si>
  <si>
    <t xml:space="preserve"> SALDAÃ‘A</t>
  </si>
  <si>
    <t>MAGALLANES</t>
  </si>
  <si>
    <t>JOSE GERARDO</t>
  </si>
  <si>
    <t xml:space="preserve"> RAMAYO</t>
  </si>
  <si>
    <t>MARRUFO</t>
  </si>
  <si>
    <t>ARMANDO</t>
  </si>
  <si>
    <t xml:space="preserve"> NAVARRETE</t>
  </si>
  <si>
    <t xml:space="preserve">GARCIA </t>
  </si>
  <si>
    <t>KURT</t>
  </si>
  <si>
    <t xml:space="preserve"> VAN KEPPEL</t>
  </si>
  <si>
    <t>ALBA XOCHITL</t>
  </si>
  <si>
    <t xml:space="preserve"> LOERA</t>
  </si>
  <si>
    <t>LOERA</t>
  </si>
  <si>
    <t>LISETTE</t>
  </si>
  <si>
    <t>GARCES</t>
  </si>
  <si>
    <t>CARLOS GUSTAVO</t>
  </si>
  <si>
    <t>AGUSTÃN MARCELO</t>
  </si>
  <si>
    <t xml:space="preserve"> FRANCO</t>
  </si>
  <si>
    <t>OGNJEN</t>
  </si>
  <si>
    <t xml:space="preserve"> VUKOSAVLJEVIC</t>
  </si>
  <si>
    <t>HERIBERTO</t>
  </si>
  <si>
    <t xml:space="preserve"> OJEDA</t>
  </si>
  <si>
    <t>YUSTE</t>
  </si>
  <si>
    <t>ENRIQUETA</t>
  </si>
  <si>
    <t>CARLOS</t>
  </si>
  <si>
    <t xml:space="preserve"> DAVILA</t>
  </si>
  <si>
    <t>SAINZ</t>
  </si>
  <si>
    <t>MARIA FERNANDA</t>
  </si>
  <si>
    <t>BASULTO</t>
  </si>
  <si>
    <t>ABELARDO</t>
  </si>
  <si>
    <t xml:space="preserve"> ZACARIAS CURI</t>
  </si>
  <si>
    <t>SEDEÑO</t>
  </si>
  <si>
    <t>PEÑA</t>
  </si>
  <si>
    <t>CALDERON</t>
  </si>
  <si>
    <t>CATALOGO DE CUENTAS</t>
  </si>
  <si>
    <t>INFORMACION ADICIONAL PARA REPORTES DE COBRANZA</t>
  </si>
  <si>
    <t>PROYECTO</t>
  </si>
  <si>
    <t>CUENTA</t>
  </si>
  <si>
    <t>SUBCUENTA</t>
  </si>
  <si>
    <t>EDIFICACION</t>
  </si>
  <si>
    <t xml:space="preserve">TIPO </t>
  </si>
  <si>
    <t>TIPO</t>
  </si>
  <si>
    <t>NIVEL</t>
  </si>
  <si>
    <t>VISTA</t>
  </si>
  <si>
    <t>M2</t>
  </si>
  <si>
    <t>Valor liberacion</t>
  </si>
  <si>
    <t>YUCALPETEN E2</t>
  </si>
  <si>
    <t>CLIENTES</t>
  </si>
  <si>
    <t>DEPTO B0301</t>
  </si>
  <si>
    <t>BONANZA</t>
  </si>
  <si>
    <t>A2</t>
  </si>
  <si>
    <t>DEPTO B0302</t>
  </si>
  <si>
    <t>A5</t>
  </si>
  <si>
    <t>DEPTO B0303</t>
  </si>
  <si>
    <t>A3</t>
  </si>
  <si>
    <t>DEPTO B0306</t>
  </si>
  <si>
    <t>DEPTO B0307</t>
  </si>
  <si>
    <t>DEPTO B0308</t>
  </si>
  <si>
    <t>DEPTO B0309</t>
  </si>
  <si>
    <t>A4</t>
  </si>
  <si>
    <t>DEPTO B0310</t>
  </si>
  <si>
    <t>DEPTO B0311</t>
  </si>
  <si>
    <t>DEPTO B0312</t>
  </si>
  <si>
    <t>DEPTO B0315</t>
  </si>
  <si>
    <t>DEPTO B0316</t>
  </si>
  <si>
    <t>DEPTO B0317</t>
  </si>
  <si>
    <t>DEPTO B0401</t>
  </si>
  <si>
    <t>DEPTO B0402</t>
  </si>
  <si>
    <t>DEPTO B0403</t>
  </si>
  <si>
    <t>DEPTO B0406</t>
  </si>
  <si>
    <t>DEPTO B0407</t>
  </si>
  <si>
    <t>DEPTO B0408</t>
  </si>
  <si>
    <t>DEPTO B0409</t>
  </si>
  <si>
    <t>DEPTO B0410</t>
  </si>
  <si>
    <t>DEPTO B0411</t>
  </si>
  <si>
    <t>DEPTO B0412</t>
  </si>
  <si>
    <t>DEPTO B0415</t>
  </si>
  <si>
    <t>DEPTO B0416</t>
  </si>
  <si>
    <t>DEPTO B0417</t>
  </si>
  <si>
    <t>DEPTO B0501</t>
  </si>
  <si>
    <t>DEPTO B0502</t>
  </si>
  <si>
    <t>DEPTO B0503</t>
  </si>
  <si>
    <t>DEPTO B0506</t>
  </si>
  <si>
    <t>DEPTO B0507</t>
  </si>
  <si>
    <t>DEPTO B0508</t>
  </si>
  <si>
    <t>DEPTO B0509</t>
  </si>
  <si>
    <t>DEPTO B0510</t>
  </si>
  <si>
    <t>DEPTO B0511</t>
  </si>
  <si>
    <t>DEPTO B0512</t>
  </si>
  <si>
    <t>DEPTO B0515</t>
  </si>
  <si>
    <t>DEPTO B0516</t>
  </si>
  <si>
    <t>DEPTO B0517</t>
  </si>
  <si>
    <t>DEPTO B0601</t>
  </si>
  <si>
    <t>DEPTO B0602</t>
  </si>
  <si>
    <t>DEPTO B0603</t>
  </si>
  <si>
    <t>DEPTO B0606</t>
  </si>
  <si>
    <t>DEPTO B0607</t>
  </si>
  <si>
    <t>DEPTO B0608</t>
  </si>
  <si>
    <t>DEPTO B0609</t>
  </si>
  <si>
    <t>DEPTO B0610</t>
  </si>
  <si>
    <t>DEPTO B0611</t>
  </si>
  <si>
    <t>DEPTO B0612</t>
  </si>
  <si>
    <t>DEPTO B0615</t>
  </si>
  <si>
    <t>DEPTO B0616</t>
  </si>
  <si>
    <t>DEPTO B0617</t>
  </si>
  <si>
    <t>DEPTO B0701</t>
  </si>
  <si>
    <t>DEPTO B0702</t>
  </si>
  <si>
    <t>DEPTO B0703</t>
  </si>
  <si>
    <t>DEPTO B0706</t>
  </si>
  <si>
    <t>DEPTO B0707</t>
  </si>
  <si>
    <t>DEPTO B0708</t>
  </si>
  <si>
    <t>DEPTO B0709</t>
  </si>
  <si>
    <t>DEPTO B0710</t>
  </si>
  <si>
    <t>DEPTO B0711</t>
  </si>
  <si>
    <t>DEPTO B0712</t>
  </si>
  <si>
    <t>DEPTO B0715</t>
  </si>
  <si>
    <t>DEPTO B0716</t>
  </si>
  <si>
    <t>DEPTO B0717</t>
  </si>
  <si>
    <t>DEPTO B0809</t>
  </si>
  <si>
    <t>DEPTO B0909</t>
  </si>
  <si>
    <t>DEPTO B1009</t>
  </si>
  <si>
    <t>DEPTO B1209</t>
  </si>
  <si>
    <t>DEPTO B0801</t>
  </si>
  <si>
    <t>DEPTO B0802</t>
  </si>
  <si>
    <t>C5</t>
  </si>
  <si>
    <t>DEPTO B0803</t>
  </si>
  <si>
    <t>C3</t>
  </si>
  <si>
    <t>DEPTO B0806</t>
  </si>
  <si>
    <t>DEPTO B0807</t>
  </si>
  <si>
    <t>DEPTO B0808</t>
  </si>
  <si>
    <t>DEPTO B0810</t>
  </si>
  <si>
    <t>DEPTO B0811</t>
  </si>
  <si>
    <t>DEPTO B0812</t>
  </si>
  <si>
    <t>DEPTO B0815</t>
  </si>
  <si>
    <t>DEPTO B0816</t>
  </si>
  <si>
    <t>DEPTO B0817</t>
  </si>
  <si>
    <t>DEPTO B0901</t>
  </si>
  <si>
    <t>DEPTO B0902</t>
  </si>
  <si>
    <t>DEPTO B0903</t>
  </si>
  <si>
    <t>DEPTO B0906</t>
  </si>
  <si>
    <t>DEPTO B0907</t>
  </si>
  <si>
    <t>DEPTO B0908</t>
  </si>
  <si>
    <t>DEPTO B0910</t>
  </si>
  <si>
    <t>DEPTO B0911</t>
  </si>
  <si>
    <t>DEPTO B0912</t>
  </si>
  <si>
    <t>DEPTO B0915</t>
  </si>
  <si>
    <t>DEPTO B0916</t>
  </si>
  <si>
    <t>DEPTO B0917</t>
  </si>
  <si>
    <t>DEPTO B1001</t>
  </si>
  <si>
    <t>DEPTO B1002</t>
  </si>
  <si>
    <t>DEPTO B1003</t>
  </si>
  <si>
    <t>DEPTO B1006</t>
  </si>
  <si>
    <t>DEPTO B1007</t>
  </si>
  <si>
    <t>DEPTO B1008</t>
  </si>
  <si>
    <t>DEPTO B1010</t>
  </si>
  <si>
    <t>DEPTO B1011</t>
  </si>
  <si>
    <t>DEPTO B1012</t>
  </si>
  <si>
    <t>DEPTO B1015</t>
  </si>
  <si>
    <t>DEPTO B1016</t>
  </si>
  <si>
    <t>DEPTO B1017</t>
  </si>
  <si>
    <t>DEPTO B1101</t>
  </si>
  <si>
    <t>DEPTO B1108</t>
  </si>
  <si>
    <t>DEPTO B1110</t>
  </si>
  <si>
    <t>DEPTO B1117</t>
  </si>
  <si>
    <t>DEPTO B1207</t>
  </si>
  <si>
    <t>DEPTO B1208</t>
  </si>
  <si>
    <t>DEPTO B1210</t>
  </si>
  <si>
    <t>DEPTO B1211</t>
  </si>
  <si>
    <t>DEPTO B1102</t>
  </si>
  <si>
    <t>DEPTO B1103</t>
  </si>
  <si>
    <t>DEPTO B1106</t>
  </si>
  <si>
    <t>DEPTO B1107</t>
  </si>
  <si>
    <t>DEPTO B1111</t>
  </si>
  <si>
    <t>DEPTO B1112</t>
  </si>
  <si>
    <t>DEPTO B1115</t>
  </si>
  <si>
    <t>DEPTO B1116</t>
  </si>
  <si>
    <t>DEPTO B1109</t>
  </si>
  <si>
    <t>DEPTO B0011</t>
  </si>
  <si>
    <t>VILLA A</t>
  </si>
  <si>
    <t>DEPTO B0012</t>
  </si>
  <si>
    <t>DEPTO B0013</t>
  </si>
  <si>
    <t>DEPTO B0002</t>
  </si>
  <si>
    <t>VILLA B IZ1</t>
  </si>
  <si>
    <t>DEPTO B0003</t>
  </si>
  <si>
    <t>VILLA B DER</t>
  </si>
  <si>
    <t>DEPTO B0004</t>
  </si>
  <si>
    <t>DEPTO B0005</t>
  </si>
  <si>
    <t>DEPTO B0006</t>
  </si>
  <si>
    <t>DEPTO B0007</t>
  </si>
  <si>
    <t>VILLA B DER MOD</t>
  </si>
  <si>
    <t>DEPTO B0008</t>
  </si>
  <si>
    <t>DEPTO B0009</t>
  </si>
  <si>
    <t>DEPTO B0015</t>
  </si>
  <si>
    <t>DEPTO B0016</t>
  </si>
  <si>
    <t>DEPTO B0017</t>
  </si>
  <si>
    <t>DEPTO B0018</t>
  </si>
  <si>
    <t>DEPTO B0019</t>
  </si>
  <si>
    <t>DEPTO B0020</t>
  </si>
  <si>
    <t>DEPTO B0014</t>
  </si>
  <si>
    <t>DEPTO B0304</t>
  </si>
  <si>
    <t>DEPTO B0305</t>
  </si>
  <si>
    <t>DEPTO B0313</t>
  </si>
  <si>
    <t>DEPTO B0314</t>
  </si>
  <si>
    <t>DEPTO B0404</t>
  </si>
  <si>
    <t>DEPTO B0405</t>
  </si>
  <si>
    <t>DEPTO B0413</t>
  </si>
  <si>
    <t>DEPTO B0414</t>
  </si>
  <si>
    <t>DEPTO B0504</t>
  </si>
  <si>
    <t>DEPTO B0505</t>
  </si>
  <si>
    <t>DEPTO B0513</t>
  </si>
  <si>
    <t>DEPTO B0514</t>
  </si>
  <si>
    <t>DEPTO B0604</t>
  </si>
  <si>
    <t>DEPTO B0605</t>
  </si>
  <si>
    <t>DEPTO B0613</t>
  </si>
  <si>
    <t>DEPTO B0614</t>
  </si>
  <si>
    <t>DEPTO B0704</t>
  </si>
  <si>
    <t>DEPTO B0705</t>
  </si>
  <si>
    <t>DEPTO B0713</t>
  </si>
  <si>
    <t>DEPTO B0714</t>
  </si>
  <si>
    <t>DEPTO B0804</t>
  </si>
  <si>
    <t>DEPTO B0805</t>
  </si>
  <si>
    <t>DEPTO B0813</t>
  </si>
  <si>
    <t>DEPTO B0814</t>
  </si>
  <si>
    <t>DEPTO B0904</t>
  </si>
  <si>
    <t>DEPTO B0905</t>
  </si>
  <si>
    <t>DEPTO B0913</t>
  </si>
  <si>
    <t>DEPTO B0914</t>
  </si>
  <si>
    <t>DEPTO B1004</t>
  </si>
  <si>
    <t>DEPTO B1005</t>
  </si>
  <si>
    <t>DEPTO B1013</t>
  </si>
  <si>
    <t>DEPTO B1014</t>
  </si>
  <si>
    <t>DEPTO B1104</t>
  </si>
  <si>
    <t>DEPTO B1105</t>
  </si>
  <si>
    <t>DEPTO B1113</t>
  </si>
  <si>
    <t>DEPTO B1114</t>
  </si>
  <si>
    <t>DEPTO B0021</t>
  </si>
  <si>
    <t>VILLA E</t>
  </si>
  <si>
    <t>DEPTO B0001</t>
  </si>
  <si>
    <t>VILLA UNICA ESQUINA</t>
  </si>
  <si>
    <t>DEPTO B0010</t>
  </si>
  <si>
    <t>VILLA D</t>
  </si>
  <si>
    <t>MAR/MARINA</t>
  </si>
  <si>
    <t>DEPTO B1201</t>
  </si>
  <si>
    <t>C2 PH/SOL</t>
  </si>
  <si>
    <t>DEPTO B1202</t>
  </si>
  <si>
    <t>C5 PH/SOL</t>
  </si>
  <si>
    <t>DEPTO B1203</t>
  </si>
  <si>
    <t>C3 PH/SOL</t>
  </si>
  <si>
    <t>DEPTO B1206</t>
  </si>
  <si>
    <t>DEPTO B1212</t>
  </si>
  <si>
    <t>DEPTO B1215</t>
  </si>
  <si>
    <t>DEPTO B1216</t>
  </si>
  <si>
    <t>DEPTO B1217</t>
  </si>
  <si>
    <t>DEPTO B1204</t>
  </si>
  <si>
    <t xml:space="preserve"> D PH </t>
  </si>
  <si>
    <t>DEPTO B1205</t>
  </si>
  <si>
    <t>DEPTO B1213</t>
  </si>
  <si>
    <t>DEPTO B1214</t>
  </si>
  <si>
    <t>UNIDS</t>
  </si>
  <si>
    <t>DESACTIVADO</t>
  </si>
  <si>
    <t>TOTAL</t>
  </si>
  <si>
    <t>MONEDA</t>
  </si>
  <si>
    <t>USD</t>
  </si>
  <si>
    <t>MXN</t>
  </si>
  <si>
    <t>COBRADO</t>
  </si>
  <si>
    <t>X COBRAR</t>
  </si>
  <si>
    <t>X FINANCIAR</t>
  </si>
  <si>
    <t>X COBRAR RECURSO PROPIO</t>
  </si>
  <si>
    <t>BONANZA MXN</t>
  </si>
  <si>
    <t>Departamento</t>
  </si>
  <si>
    <t>Fecha de Control calidad</t>
  </si>
  <si>
    <t>Fecha posible de entrega final</t>
  </si>
  <si>
    <t>Tipo de dueño</t>
  </si>
  <si>
    <t>Estatus</t>
  </si>
  <si>
    <t>DISPONIBLE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</si>
  <si>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</si>
  <si>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</si>
  <si>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</si>
  <si>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</si>
  <si>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</si>
  <si>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</si>
  <si>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</si>
  <si>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</si>
  <si>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</si>
  <si>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</si>
  <si>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</si>
  <si>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</si>
  <si>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</si>
  <si>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</si>
  <si>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</si>
  <si>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</si>
  <si>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</si>
  <si>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</si>
  <si>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</si>
  <si>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</si>
  <si>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</si>
  <si>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unit_id</t>
  </si>
  <si>
    <t>estatus_obra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</si>
</sst>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00_ ;[Red]\-#,##0.00\ "/>
    <numFmt numFmtId="165" formatCode="_-&quot;$&quot;* #,##0.00_-;\-&quot;$&quot;* #,##0.00_-;_-&quot;$&quot;* &quot;-&quot;??_-;_-@"/>
    <numFmt numFmtId="166" formatCode="_-&quot;$&quot;* #,##0.00_-;[Red]\-&quot;$&quot;* #,##0.00_-;_-&quot;$&quot;* &quot;-&quot;??_-;_-@"/>
    <numFmt numFmtId="167" formatCode="&quot;$&quot;\ #,##0;[Red]\-&quot;$&quot;\ #,##0"/>
    <numFmt numFmtId="168" formatCode="#,##0.0;[Red]\(#,##0.0\);\-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entury Gothic"/>
      <family val="2"/>
    </font>
    <font>
      <b/>
      <sz val="20"/>
      <color rgb="FF000000"/>
      <name val="Century Gothic"/>
      <family val="2"/>
    </font>
    <font>
      <sz val="11"/>
      <name val="Calibri"/>
      <family val="2"/>
    </font>
    <font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0"/>
      <color rgb="FFFFFFFF"/>
      <name val="Century Gothic"/>
      <family val="2"/>
    </font>
    <font>
      <b/>
      <sz val="11"/>
      <color theme="1"/>
      <name val="Calibri"/>
      <family val="2"/>
      <scheme val="minor"/>
    </font>
    <font>
      <b/>
      <sz val="11"/>
      <color theme="4"/>
      <name val="Century Gothic"/>
      <family val="2"/>
    </font>
    <font>
      <sz val="11"/>
      <color theme="1"/>
      <name val="Calibri"/>
      <family val="2"/>
      <scheme val="minor"/>
    </font>
    <font>
      <b/>
      <sz val="10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entury Gothic"/>
      <family val="1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262626"/>
        <bgColor rgb="FF262626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7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9"/>
  </cellStyleXfs>
  <cellXfs count="11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40" fontId="7" fillId="0" borderId="0" xfId="0" applyNumberFormat="1" applyFont="1"/>
    <xf numFmtId="164" fontId="7" fillId="0" borderId="0" xfId="0" applyNumberFormat="1" applyFont="1"/>
    <xf numFmtId="40" fontId="6" fillId="0" borderId="0" xfId="0" applyNumberFormat="1" applyFont="1"/>
    <xf numFmtId="0" fontId="8" fillId="0" borderId="0" xfId="0" applyFont="1" applyAlignment="1">
      <alignment horizontal="center" vertical="center" wrapText="1"/>
    </xf>
    <xf numFmtId="0" fontId="11" fillId="2" borderId="6" xfId="0" applyFont="1" applyFill="1" applyBorder="1" applyAlignment="1">
      <alignment horizontal="center" wrapText="1"/>
    </xf>
    <xf numFmtId="0" fontId="11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 wrapText="1"/>
    </xf>
    <xf numFmtId="165" fontId="11" fillId="2" borderId="6" xfId="0" applyNumberFormat="1" applyFont="1" applyFill="1" applyBorder="1" applyAlignment="1">
      <alignment horizontal="center" vertical="center" wrapText="1"/>
    </xf>
    <xf numFmtId="165" fontId="8" fillId="0" borderId="10" xfId="0" applyNumberFormat="1" applyFont="1" applyBorder="1" applyAlignment="1">
      <alignment horizontal="center" wrapText="1"/>
    </xf>
    <xf numFmtId="0" fontId="12" fillId="2" borderId="6" xfId="0" applyFont="1" applyFill="1" applyBorder="1" applyAlignment="1">
      <alignment horizontal="center" vertical="center" wrapText="1"/>
    </xf>
    <xf numFmtId="166" fontId="12" fillId="0" borderId="0" xfId="0" applyNumberFormat="1" applyFont="1" applyAlignment="1">
      <alignment horizontal="right" vertical="center" wrapText="1"/>
    </xf>
    <xf numFmtId="165" fontId="12" fillId="2" borderId="6" xfId="0" applyNumberFormat="1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165" fontId="13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4" fillId="4" borderId="17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 wrapText="1"/>
    </xf>
    <xf numFmtId="165" fontId="14" fillId="4" borderId="18" xfId="0" applyNumberFormat="1" applyFont="1" applyFill="1" applyBorder="1" applyAlignment="1">
      <alignment horizontal="center" vertical="center" wrapText="1"/>
    </xf>
    <xf numFmtId="165" fontId="14" fillId="4" borderId="19" xfId="0" applyNumberFormat="1" applyFont="1" applyFill="1" applyBorder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49" fontId="14" fillId="4" borderId="18" xfId="0" applyNumberFormat="1" applyFont="1" applyFill="1" applyBorder="1" applyAlignment="1">
      <alignment horizontal="center" vertical="center" wrapText="1"/>
    </xf>
    <xf numFmtId="49" fontId="14" fillId="4" borderId="8" xfId="0" applyNumberFormat="1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2" borderId="22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166" fontId="8" fillId="0" borderId="22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40" fontId="8" fillId="0" borderId="22" xfId="0" applyNumberFormat="1" applyFont="1" applyBorder="1" applyAlignment="1">
      <alignment horizontal="center" vertical="center" wrapText="1"/>
    </xf>
    <xf numFmtId="165" fontId="8" fillId="0" borderId="22" xfId="0" applyNumberFormat="1" applyFont="1" applyBorder="1" applyAlignment="1">
      <alignment horizontal="center" vertical="center" wrapText="1"/>
    </xf>
    <xf numFmtId="15" fontId="8" fillId="0" borderId="22" xfId="0" applyNumberFormat="1" applyFont="1" applyBorder="1" applyAlignment="1">
      <alignment horizontal="center" vertical="center" wrapText="1"/>
    </xf>
    <xf numFmtId="49" fontId="8" fillId="2" borderId="23" xfId="0" applyNumberFormat="1" applyFont="1" applyFill="1" applyBorder="1" applyAlignment="1">
      <alignment horizontal="center" vertical="center" wrapText="1"/>
    </xf>
    <xf numFmtId="49" fontId="8" fillId="2" borderId="24" xfId="0" applyNumberFormat="1" applyFont="1" applyFill="1" applyBorder="1" applyAlignment="1">
      <alignment horizontal="center" vertical="center" wrapText="1"/>
    </xf>
    <xf numFmtId="165" fontId="8" fillId="0" borderId="0" xfId="0" applyNumberFormat="1" applyFont="1" applyAlignment="1">
      <alignment wrapText="1"/>
    </xf>
    <xf numFmtId="14" fontId="11" fillId="2" borderId="22" xfId="0" applyNumberFormat="1" applyFont="1" applyFill="1" applyBorder="1" applyAlignment="1">
      <alignment horizontal="center" vertical="center" wrapText="1"/>
    </xf>
    <xf numFmtId="14" fontId="11" fillId="2" borderId="2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49" fontId="8" fillId="0" borderId="0" xfId="0" applyNumberFormat="1" applyFont="1" applyAlignment="1">
      <alignment wrapText="1"/>
    </xf>
    <xf numFmtId="49" fontId="8" fillId="0" borderId="0" xfId="0" applyNumberFormat="1" applyFont="1" applyAlignment="1">
      <alignment horizontal="center" wrapText="1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67" fontId="16" fillId="2" borderId="6" xfId="0" applyNumberFormat="1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 vertical="center" wrapText="1"/>
    </xf>
    <xf numFmtId="44" fontId="18" fillId="0" borderId="0" xfId="1" applyFont="1" applyAlignment="1">
      <alignment vertical="center"/>
    </xf>
    <xf numFmtId="0" fontId="15" fillId="0" borderId="0" xfId="0" applyFont="1"/>
    <xf numFmtId="44" fontId="11" fillId="2" borderId="6" xfId="0" applyNumberFormat="1" applyFont="1" applyFill="1" applyBorder="1" applyAlignment="1">
      <alignment horizontal="center" vertical="center" wrapText="1"/>
    </xf>
    <xf numFmtId="0" fontId="3" fillId="0" borderId="0" xfId="0" applyFont="1"/>
    <xf numFmtId="14" fontId="8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13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38" fontId="11" fillId="2" borderId="6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2" fillId="0" borderId="0" xfId="0" applyFont="1"/>
    <xf numFmtId="165" fontId="11" fillId="2" borderId="9" xfId="0" applyNumberFormat="1" applyFont="1" applyFill="1" applyBorder="1" applyAlignment="1">
      <alignment horizontal="center" vertical="center" wrapText="1"/>
    </xf>
    <xf numFmtId="0" fontId="20" fillId="9" borderId="27" xfId="3" applyFont="1" applyFill="1" applyBorder="1"/>
    <xf numFmtId="168" fontId="20" fillId="9" borderId="27" xfId="3" applyNumberFormat="1" applyFont="1" applyFill="1" applyBorder="1" applyAlignment="1">
      <alignment horizontal="centerContinuous" vertical="center"/>
    </xf>
    <xf numFmtId="43" fontId="0" fillId="0" borderId="0" xfId="2" applyFont="1"/>
    <xf numFmtId="0" fontId="21" fillId="9" borderId="28" xfId="3" applyFont="1" applyFill="1" applyBorder="1" applyAlignment="1">
      <alignment horizontal="center"/>
    </xf>
    <xf numFmtId="0" fontId="21" fillId="9" borderId="29" xfId="3" applyFont="1" applyFill="1" applyBorder="1" applyAlignment="1">
      <alignment horizontal="center"/>
    </xf>
    <xf numFmtId="0" fontId="21" fillId="9" borderId="30" xfId="3" applyFont="1" applyFill="1" applyBorder="1" applyAlignment="1">
      <alignment horizontal="center"/>
    </xf>
    <xf numFmtId="43" fontId="21" fillId="9" borderId="9" xfId="2" applyFont="1" applyFill="1" applyBorder="1" applyAlignment="1">
      <alignment horizontal="center"/>
    </xf>
    <xf numFmtId="49" fontId="22" fillId="0" borderId="9" xfId="3" applyNumberFormat="1" applyFont="1" applyAlignment="1">
      <alignment horizontal="center" vertical="center"/>
    </xf>
    <xf numFmtId="0" fontId="1" fillId="0" borderId="9" xfId="3"/>
    <xf numFmtId="0" fontId="23" fillId="0" borderId="9" xfId="3" applyFont="1"/>
    <xf numFmtId="0" fontId="12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0" fontId="0" fillId="0" borderId="0" xfId="0" applyNumberFormat="1"/>
    <xf numFmtId="40" fontId="1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/>
    <xf numFmtId="0" fontId="8" fillId="5" borderId="1" xfId="0" applyFont="1" applyFill="1" applyBorder="1" applyAlignment="1">
      <alignment horizontal="center" wrapText="1"/>
    </xf>
    <xf numFmtId="0" fontId="10" fillId="0" borderId="2" xfId="0" applyFont="1" applyBorder="1"/>
    <xf numFmtId="0" fontId="10" fillId="0" borderId="9" xfId="0" applyFont="1" applyBorder="1"/>
    <xf numFmtId="0" fontId="8" fillId="7" borderId="1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0" fillId="0" borderId="4" xfId="0" applyFont="1" applyBorder="1"/>
    <xf numFmtId="0" fontId="10" fillId="0" borderId="5" xfId="0" applyFont="1" applyBorder="1"/>
    <xf numFmtId="0" fontId="10" fillId="0" borderId="7" xfId="0" applyFont="1" applyBorder="1"/>
    <xf numFmtId="0" fontId="10" fillId="0" borderId="8" xfId="0" applyFont="1" applyBorder="1"/>
    <xf numFmtId="0" fontId="13" fillId="3" borderId="11" xfId="0" applyFont="1" applyFill="1" applyBorder="1" applyAlignment="1">
      <alignment horizontal="center" vertical="center" wrapText="1"/>
    </xf>
    <xf numFmtId="0" fontId="10" fillId="0" borderId="12" xfId="0" applyFont="1" applyBorder="1"/>
    <xf numFmtId="165" fontId="13" fillId="3" borderId="13" xfId="0" applyNumberFormat="1" applyFont="1" applyFill="1" applyBorder="1" applyAlignment="1">
      <alignment horizontal="center" vertical="center" wrapText="1"/>
    </xf>
    <xf numFmtId="0" fontId="10" fillId="0" borderId="14" xfId="0" applyFont="1" applyBorder="1"/>
    <xf numFmtId="0" fontId="10" fillId="0" borderId="15" xfId="0" applyFont="1" applyBorder="1"/>
    <xf numFmtId="0" fontId="13" fillId="3" borderId="13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5" fillId="0" borderId="31" xfId="0" applyFont="1" applyBorder="1" applyAlignment="1">
      <alignment vertical="center"/>
    </xf>
    <xf numFmtId="0" fontId="15" fillId="0" borderId="31" xfId="0" applyFont="1" applyBorder="1" applyAlignment="1">
      <alignment horizont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15" fontId="0" fillId="0" borderId="31" xfId="0" applyNumberFormat="1" applyBorder="1" applyAlignment="1">
      <alignment horizontal="center"/>
    </xf>
    <xf numFmtId="0" fontId="0" fillId="0" borderId="31" xfId="0" applyBorder="1"/>
    <xf numFmtId="0" fontId="0" fillId="10" borderId="31" xfId="0" applyFill="1" applyBorder="1" applyAlignment="1">
      <alignment horizontal="center"/>
    </xf>
    <xf numFmtId="0" fontId="0" fillId="11" borderId="31" xfId="0" applyFill="1" applyBorder="1" applyAlignment="1">
      <alignment horizontal="center"/>
    </xf>
    <xf numFmtId="15" fontId="0" fillId="0" borderId="31" xfId="0" applyNumberFormat="1" applyBorder="1" applyAlignment="1">
      <alignment vertical="center"/>
    </xf>
    <xf numFmtId="49" fontId="8" fillId="2" borderId="9" xfId="0" applyNumberFormat="1" applyFont="1" applyFill="1" applyBorder="1" applyAlignment="1">
      <alignment horizontal="center" vertical="center" wrapText="1"/>
    </xf>
    <xf numFmtId="49" fontId="14" fillId="4" borderId="9" xfId="0" applyNumberFormat="1" applyFont="1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/>
    </xf>
  </cellXfs>
  <cellStyles count="4">
    <cellStyle name="Millares" xfId="2" builtinId="3"/>
    <cellStyle name="Moneda" xfId="1" builtinId="4"/>
    <cellStyle name="Normal" xfId="0" builtinId="0"/>
    <cellStyle name="Normal 3" xfId="3" xr:uid="{2DE2DFF9-4F18-44E4-B838-973DAB4A98FD}"/>
  </cellStyles>
  <dxfs count="41">
    <dxf>
      <fill>
        <patternFill patternType="solid">
          <fgColor rgb="FF7F7F7F"/>
          <bgColor rgb="FF7F7F7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7" defaultTableStyle="TableStyleMedium2" defaultPivotStyle="PivotStyleLight16">
    <tableStyle name="TIMELINE-style" pivot="0" count="3" xr9:uid="{00000000-0011-0000-FFFF-FFFF00000000}">
      <tableStyleElement type="headerRow" dxfId="40"/>
      <tableStyleElement type="firstRowStripe" dxfId="39"/>
      <tableStyleElement type="secondRowStripe" dxfId="38"/>
    </tableStyle>
    <tableStyle name="TIMELINE-style 2" pivot="0" count="3" xr9:uid="{00000000-0011-0000-FFFF-FFFF01000000}">
      <tableStyleElement type="headerRow" dxfId="37"/>
      <tableStyleElement type="firstRowStripe" dxfId="36"/>
      <tableStyleElement type="secondRowStripe" dxfId="35"/>
    </tableStyle>
    <tableStyle name="TIMELINE-style 3" pivot="0" count="3" xr9:uid="{00000000-0011-0000-FFFF-FFFF02000000}">
      <tableStyleElement type="headerRow" dxfId="34"/>
      <tableStyleElement type="firstRowStripe" dxfId="33"/>
      <tableStyleElement type="secondRowStripe" dxfId="32"/>
    </tableStyle>
    <tableStyle name="TIMELINE SALDOS-style" pivot="0" count="3" xr9:uid="{00000000-0011-0000-FFFF-FFFF03000000}">
      <tableStyleElement type="headerRow" dxfId="31"/>
      <tableStyleElement type="firstRowStripe" dxfId="30"/>
      <tableStyleElement type="secondRowStripe" dxfId="29"/>
    </tableStyle>
    <tableStyle name="TIMELINE SALDOS-style 2" pivot="0" count="3" xr9:uid="{00000000-0011-0000-FFFF-FFFF04000000}">
      <tableStyleElement type="headerRow" dxfId="28"/>
      <tableStyleElement type="firstRowStripe" dxfId="27"/>
      <tableStyleElement type="secondRowStripe" dxfId="26"/>
    </tableStyle>
    <tableStyle name="TIMELINE SALDOS-style 3" pivot="0" count="3" xr9:uid="{00000000-0011-0000-FFFF-FFFF05000000}">
      <tableStyleElement type="headerRow" dxfId="25"/>
      <tableStyleElement type="firstRowStripe" dxfId="24"/>
      <tableStyleElement type="secondRowStripe" dxfId="23"/>
    </tableStyle>
    <tableStyle name="TIMELINE SALDOS-style 4" pivot="0" count="3" xr9:uid="{00000000-0011-0000-FFFF-FFFF06000000}">
      <tableStyleElement type="headerRow" dxfId="22"/>
      <tableStyleElement type="firstRowStripe" dxfId="21"/>
      <tableStyleElement type="secondRowStripe" dxfId="20"/>
    </tableStyle>
  </tableStyles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"/>
          <c:y val="0.13671114027413239"/>
          <c:w val="1"/>
          <c:h val="0.73220217264508591"/>
        </c:manualLayout>
      </c:layout>
      <c:pie3DChart>
        <c:varyColors val="1"/>
        <c:ser>
          <c:idx val="0"/>
          <c:order val="0"/>
          <c:tx>
            <c:strRef>
              <c:f>Graficas!$C$6</c:f>
              <c:strCache>
                <c:ptCount val="1"/>
                <c:pt idx="0">
                  <c:v>UNIDADES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DF03-43ED-92C1-8DAF29B76C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DF03-43ED-92C1-8DAF29B76C99}"/>
              </c:ext>
            </c:extLst>
          </c:dPt>
          <c:cat>
            <c:strRef>
              <c:f>Graficas!$B$7:$B$8</c:f>
              <c:strCache>
                <c:ptCount val="2"/>
                <c:pt idx="0">
                  <c:v>SOLD</c:v>
                </c:pt>
                <c:pt idx="1">
                  <c:v>AVAILABLE</c:v>
                </c:pt>
              </c:strCache>
            </c:strRef>
          </c:cat>
          <c:val>
            <c:numRef>
              <c:f>Graficas!$C$7:$C$8</c:f>
              <c:numCache>
                <c:formatCode>General</c:formatCode>
                <c:ptCount val="2"/>
                <c:pt idx="0">
                  <c:v>184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03-43ED-92C1-8DAF29B76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AE1C-486E-A233-179B80EA1702}"/>
              </c:ext>
            </c:extLst>
          </c:dPt>
          <c:cat>
            <c:strRef>
              <c:f>Graficas!$D$6:$F$6</c:f>
              <c:strCache>
                <c:ptCount val="3"/>
                <c:pt idx="0">
                  <c:v>VTAS USD</c:v>
                </c:pt>
                <c:pt idx="1">
                  <c:v>COB USD</c:v>
                </c:pt>
                <c:pt idx="2">
                  <c:v>X COB USD</c:v>
                </c:pt>
              </c:strCache>
            </c:strRef>
          </c:cat>
          <c:val>
            <c:numRef>
              <c:f>Graficas!$D$7:$F$7</c:f>
              <c:numCache>
                <c:formatCode>#,##0.00_);[Red]\(#,##0.00\)</c:formatCode>
                <c:ptCount val="3"/>
                <c:pt idx="0">
                  <c:v>37005200</c:v>
                </c:pt>
                <c:pt idx="1">
                  <c:v>16304487.829999998</c:v>
                </c:pt>
                <c:pt idx="2" formatCode="#,##0.00_ ;[Red]\-#,##0.00\ ">
                  <c:v>20700712.170000002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1C-486E-A233-179B80EA1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11</xdr:row>
      <xdr:rowOff>9525</xdr:rowOff>
    </xdr:from>
    <xdr:ext cx="4333875" cy="3000375"/>
    <xdr:graphicFrame macro="">
      <xdr:nvGraphicFramePr>
        <xdr:cNvPr id="1605342728" name="Chart 1">
          <a:extLst>
            <a:ext uri="{FF2B5EF4-FFF2-40B4-BE49-F238E27FC236}">
              <a16:creationId xmlns:a16="http://schemas.microsoft.com/office/drawing/2014/main" id="{00000000-0008-0000-0000-00000896A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295275</xdr:colOff>
      <xdr:row>10</xdr:row>
      <xdr:rowOff>57150</xdr:rowOff>
    </xdr:from>
    <xdr:ext cx="4276725" cy="3000375"/>
    <xdr:graphicFrame macro="">
      <xdr:nvGraphicFramePr>
        <xdr:cNvPr id="1926779063" name="Chart 2">
          <a:extLst>
            <a:ext uri="{FF2B5EF4-FFF2-40B4-BE49-F238E27FC236}">
              <a16:creationId xmlns:a16="http://schemas.microsoft.com/office/drawing/2014/main" id="{00000000-0008-0000-0000-0000B750D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00"/>
  <sheetViews>
    <sheetView showGridLines="0" workbookViewId="0">
      <selection activeCell="B3" sqref="B3"/>
    </sheetView>
  </sheetViews>
  <sheetFormatPr baseColWidth="10" defaultColWidth="14.5" defaultRowHeight="15" customHeight="1" x14ac:dyDescent="0.2"/>
  <cols>
    <col min="1" max="3" width="10.6640625" customWidth="1"/>
    <col min="4" max="5" width="12.5" customWidth="1"/>
    <col min="6" max="6" width="12.83203125" customWidth="1"/>
    <col min="7" max="8" width="10.6640625" customWidth="1"/>
    <col min="9" max="9" width="12.83203125" customWidth="1"/>
    <col min="10" max="10" width="13.83203125" customWidth="1"/>
    <col min="11" max="26" width="10.6640625" customWidth="1"/>
  </cols>
  <sheetData>
    <row r="2" spans="2:11" ht="19" x14ac:dyDescent="0.25">
      <c r="B2" s="1" t="s">
        <v>117</v>
      </c>
    </row>
    <row r="3" spans="2:11" ht="16" x14ac:dyDescent="0.2">
      <c r="B3" s="2" t="s">
        <v>0</v>
      </c>
    </row>
    <row r="5" spans="2:11" ht="16" x14ac:dyDescent="0.2">
      <c r="G5" s="82" t="s">
        <v>1</v>
      </c>
      <c r="H5" s="83"/>
      <c r="J5" s="2">
        <v>20.329999999999998</v>
      </c>
    </row>
    <row r="6" spans="2:11" x14ac:dyDescent="0.2"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</row>
    <row r="7" spans="2:11" x14ac:dyDescent="0.2">
      <c r="B7" s="4" t="s">
        <v>11</v>
      </c>
      <c r="C7" s="5">
        <f>COUNTIF(Bonanza!$O$7:$O$197,Graficas!$B7)</f>
        <v>184</v>
      </c>
      <c r="D7" s="6">
        <f>SUMIFS(Bonanza!$P:$P,Bonanza!$O:$O,Graficas!$B7)</f>
        <v>37005200</v>
      </c>
      <c r="E7" s="6">
        <f>SUMIFS(Bonanza!$R:$R,Bonanza!$O:$O,Graficas!$B7)</f>
        <v>16304487.829999998</v>
      </c>
      <c r="F7" s="7">
        <f>D7-E7</f>
        <v>20700712.170000002</v>
      </c>
      <c r="G7" s="5">
        <f>COUNTIFS(Bonanza!$AE:$AE,Graficas!G$6,Bonanza!$O:$O,Graficas!$B7)</f>
        <v>0</v>
      </c>
      <c r="H7" s="5">
        <f>COUNTIFS(Bonanza!$AE:$AE,Graficas!H$6,Bonanza!$O:$O,Graficas!$B7)</f>
        <v>0</v>
      </c>
      <c r="I7" s="7">
        <f>SUMIFS(Bonanza!$T:$T,Bonanza!$O:$O,Graficas!$B7,Bonanza!$AE:$AE,Graficas!$G6)</f>
        <v>0</v>
      </c>
      <c r="J7" s="7">
        <f>SUMIFS(Bonanza!$X:$X,Bonanza!$O:$O,Graficas!$B7,Bonanza!$AE:$AE,Graficas!$G$6)/20.33</f>
        <v>0</v>
      </c>
      <c r="K7" s="7">
        <f>I7-J7</f>
        <v>0</v>
      </c>
    </row>
    <row r="8" spans="2:11" x14ac:dyDescent="0.2">
      <c r="B8" s="4" t="s">
        <v>12</v>
      </c>
      <c r="C8" s="5">
        <f>COUNTIF(Bonanza!$O$7:$O$197,Graficas!$B8)</f>
        <v>7</v>
      </c>
      <c r="D8" s="6">
        <f>SUMIFS(Bonanza!$P:$P,Bonanza!$O:$O,Graficas!$B8)</f>
        <v>0</v>
      </c>
      <c r="E8" s="6">
        <f>SUMIFS(Bonanza!$R:$R,Bonanza!$O:$O,Graficas!$B8)</f>
        <v>0</v>
      </c>
      <c r="F8" s="7">
        <f>D8-E8</f>
        <v>0</v>
      </c>
      <c r="G8" s="5">
        <f>COUNTIFS(Bonanza!$AE:$AE,Graficas!G$6,Bonanza!$O:$O,Graficas!$B8)</f>
        <v>0</v>
      </c>
      <c r="H8" s="5">
        <f>COUNTIFS(Bonanza!$AE:$AE,Graficas!H$6,Bonanza!$O:$O,Graficas!$B8)</f>
        <v>0</v>
      </c>
      <c r="I8" s="7">
        <f>SUMIFS(Bonanza!$T:$T,Bonanza!$O:$O,Graficas!$B8,Bonanza!$AE:$AE,Graficas!$G6)</f>
        <v>0</v>
      </c>
      <c r="J8" s="7">
        <f>SUMIFS(Bonanza!$X:$X,Bonanza!$O:$O,Graficas!$B8,Bonanza!$AE:$AE,Graficas!$G$6)/20.33</f>
        <v>0</v>
      </c>
      <c r="K8" s="7">
        <f>I8-J8</f>
        <v>0</v>
      </c>
    </row>
    <row r="9" spans="2:11" x14ac:dyDescent="0.2">
      <c r="B9" s="4"/>
    </row>
    <row r="10" spans="2:11" x14ac:dyDescent="0.2">
      <c r="B10" s="4" t="s">
        <v>13</v>
      </c>
      <c r="C10" s="3">
        <f t="shared" ref="C10:K10" si="0">SUM(C7:C9)</f>
        <v>191</v>
      </c>
      <c r="D10" s="8">
        <f t="shared" si="0"/>
        <v>37005200</v>
      </c>
      <c r="E10" s="8">
        <f t="shared" si="0"/>
        <v>16304487.829999998</v>
      </c>
      <c r="F10" s="8">
        <f t="shared" si="0"/>
        <v>20700712.170000002</v>
      </c>
      <c r="G10" s="3">
        <f t="shared" si="0"/>
        <v>0</v>
      </c>
      <c r="H10" s="3">
        <f t="shared" si="0"/>
        <v>0</v>
      </c>
      <c r="I10" s="8">
        <f t="shared" si="0"/>
        <v>0</v>
      </c>
      <c r="J10" s="8">
        <f t="shared" si="0"/>
        <v>0</v>
      </c>
      <c r="K10" s="8">
        <f t="shared" si="0"/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G5:H5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7FA9-FA57-4DB6-8C72-E82BC48FF226}">
  <dimension ref="B1:R31"/>
  <sheetViews>
    <sheetView showGridLines="0" workbookViewId="0">
      <selection activeCell="D13" sqref="D13"/>
    </sheetView>
  </sheetViews>
  <sheetFormatPr baseColWidth="10" defaultRowHeight="15" x14ac:dyDescent="0.2"/>
  <cols>
    <col min="1" max="1" width="3.33203125" customWidth="1"/>
    <col min="2" max="2" width="13.1640625" bestFit="1" customWidth="1"/>
    <col min="3" max="3" width="15.33203125" customWidth="1"/>
    <col min="4" max="4" width="13.6640625" bestFit="1" customWidth="1"/>
    <col min="5" max="5" width="15.33203125" bestFit="1" customWidth="1"/>
    <col min="6" max="6" width="13.6640625" bestFit="1" customWidth="1"/>
    <col min="7" max="7" width="20.5" customWidth="1"/>
  </cols>
  <sheetData>
    <row r="1" spans="2:18" x14ac:dyDescent="0.2">
      <c r="K1">
        <v>18.5</v>
      </c>
    </row>
    <row r="4" spans="2:18" x14ac:dyDescent="0.2">
      <c r="B4" s="54" t="s">
        <v>890</v>
      </c>
      <c r="C4" s="49" t="s">
        <v>886</v>
      </c>
      <c r="D4" s="49" t="s">
        <v>445</v>
      </c>
      <c r="E4" s="49" t="s">
        <v>53</v>
      </c>
      <c r="F4" s="49" t="s">
        <v>58</v>
      </c>
      <c r="H4" s="54" t="s">
        <v>891</v>
      </c>
      <c r="I4" s="49"/>
      <c r="J4" s="49" t="s">
        <v>445</v>
      </c>
      <c r="K4" s="49" t="s">
        <v>53</v>
      </c>
      <c r="L4" s="49" t="s">
        <v>58</v>
      </c>
      <c r="N4" s="54" t="s">
        <v>677</v>
      </c>
      <c r="O4" s="49"/>
      <c r="P4" s="49" t="s">
        <v>445</v>
      </c>
      <c r="Q4" s="49" t="s">
        <v>53</v>
      </c>
      <c r="R4" s="49" t="s">
        <v>58</v>
      </c>
    </row>
    <row r="5" spans="2:18" x14ac:dyDescent="0.2">
      <c r="B5" t="s">
        <v>11</v>
      </c>
      <c r="C5" s="79">
        <f>COUNTIFS(Bonanza!$O:$O,RESUMEN!$B5,Bonanza!$D:$D,RESUMEN!$B$4)</f>
        <v>123</v>
      </c>
      <c r="D5" s="79">
        <f>COUNTIFS(Bonanza!$O:$O,RESUMEN!$B5,Bonanza!$D:$D,RESUMEN!$B$4,Bonanza!$M:$M,RESUMEN!D$4)</f>
        <v>98</v>
      </c>
      <c r="E5" s="79">
        <f>COUNTIFS(Bonanza!$O:$O,RESUMEN!$B5,Bonanza!$D:$D,RESUMEN!$B$4,Bonanza!$M:$M,RESUMEN!E$4)</f>
        <v>25</v>
      </c>
      <c r="F5" s="79">
        <f>COUNTIFS(Bonanza!$O:$O,RESUMEN!$B5,Bonanza!$D:$D,RESUMEN!$B$4,Bonanza!$M:$M,RESUMEN!F$4)</f>
        <v>0</v>
      </c>
      <c r="H5" t="s">
        <v>11</v>
      </c>
      <c r="I5" s="79">
        <f>COUNTIFS(Bonanza!$O:$O,RESUMEN!$H5,Bonanza!$D:$D,RESUMEN!$H$4)</f>
        <v>61</v>
      </c>
      <c r="J5" s="79">
        <f>COUNTIFS(Bonanza!$O:$O,RESUMEN!$H5,Bonanza!$D:$D,RESUMEN!$H$4,Bonanza!$M:$M,RESUMEN!D$4)</f>
        <v>0</v>
      </c>
      <c r="K5" s="79">
        <f>COUNTIFS(Bonanza!$O:$O,RESUMEN!$H5,Bonanza!$D:$D,RESUMEN!$H$4,Bonanza!$M:$M,RESUMEN!E$4)</f>
        <v>0</v>
      </c>
      <c r="L5" s="79">
        <f>COUNTIFS(Bonanza!$O:$O,RESUMEN!$H5,Bonanza!$D:$D,RESUMEN!$H$4,Bonanza!$M:$M,RESUMEN!F$4)</f>
        <v>61</v>
      </c>
      <c r="N5" t="s">
        <v>11</v>
      </c>
      <c r="O5" s="79">
        <f t="shared" ref="O5:R8" si="0">C5+I5</f>
        <v>184</v>
      </c>
      <c r="P5" s="79">
        <f t="shared" si="0"/>
        <v>98</v>
      </c>
      <c r="Q5" s="79">
        <f t="shared" si="0"/>
        <v>25</v>
      </c>
      <c r="R5" s="79">
        <f t="shared" si="0"/>
        <v>61</v>
      </c>
    </row>
    <row r="6" spans="2:18" x14ac:dyDescent="0.2">
      <c r="B6" t="s">
        <v>12</v>
      </c>
      <c r="C6" s="79">
        <f>COUNTIFS(Bonanza!$O:$O,RESUMEN!$B6,Bonanza!$D:$D,RESUMEN!$B$4)</f>
        <v>0</v>
      </c>
      <c r="D6" s="79">
        <f>COUNTIFS(Bonanza!$O:$O,RESUMEN!$B6,Bonanza!$D:$D,RESUMEN!$B$4,Bonanza!$M:$M,RESUMEN!D$4)</f>
        <v>0</v>
      </c>
      <c r="E6" s="79">
        <f>COUNTIFS(Bonanza!$O:$O,RESUMEN!$B6,Bonanza!$D:$D,RESUMEN!$B$4,Bonanza!$M:$M,RESUMEN!E$4)</f>
        <v>0</v>
      </c>
      <c r="F6" s="79">
        <f>COUNTIFS(Bonanza!$O:$O,RESUMEN!$B6,Bonanza!$D:$D,RESUMEN!$B$4,Bonanza!$M:$M,RESUMEN!F$4)</f>
        <v>0</v>
      </c>
      <c r="H6" t="s">
        <v>12</v>
      </c>
      <c r="I6" s="79">
        <f>COUNTIFS(Bonanza!$O:$O,RESUMEN!$H6,Bonanza!$D:$D,RESUMEN!$H$4)</f>
        <v>7</v>
      </c>
      <c r="J6" s="79">
        <f>COUNTIFS(Bonanza!$O:$O,RESUMEN!$H6,Bonanza!$D:$D,RESUMEN!$H$4,Bonanza!$M:$M,RESUMEN!D$4)</f>
        <v>0</v>
      </c>
      <c r="K6" s="79">
        <f>COUNTIFS(Bonanza!$O:$O,RESUMEN!$H6,Bonanza!$D:$D,RESUMEN!$H$4,Bonanza!$M:$M,RESUMEN!E$4)</f>
        <v>0</v>
      </c>
      <c r="L6" s="79">
        <f>COUNTIFS(Bonanza!$O:$O,RESUMEN!$H6,Bonanza!$D:$D,RESUMEN!$H$4,Bonanza!$M:$M,RESUMEN!F$4)</f>
        <v>7</v>
      </c>
      <c r="N6" t="s">
        <v>12</v>
      </c>
      <c r="O6" s="79">
        <f t="shared" si="0"/>
        <v>7</v>
      </c>
      <c r="P6" s="79">
        <f t="shared" si="0"/>
        <v>0</v>
      </c>
      <c r="Q6" s="79">
        <f t="shared" si="0"/>
        <v>0</v>
      </c>
      <c r="R6" s="79">
        <f t="shared" si="0"/>
        <v>7</v>
      </c>
    </row>
    <row r="7" spans="2:18" x14ac:dyDescent="0.2">
      <c r="B7" t="s">
        <v>887</v>
      </c>
      <c r="C7" s="79">
        <f>COUNTIFS(Bonanza!$O:$O,RESUMEN!$B7,Bonanza!$D:$D,RESUMEN!$B$4)</f>
        <v>0</v>
      </c>
      <c r="D7" s="79">
        <f>COUNTIFS(Bonanza!$O:$O,RESUMEN!$B7,Bonanza!$D:$D,RESUMEN!$B$4,Bonanza!$M:$M,RESUMEN!D$4)</f>
        <v>0</v>
      </c>
      <c r="E7" s="79">
        <f>COUNTIFS(Bonanza!$O:$O,RESUMEN!$B7,Bonanza!$D:$D,RESUMEN!$B$4,Bonanza!$M:$M,RESUMEN!E$4)</f>
        <v>0</v>
      </c>
      <c r="F7" s="79">
        <f>COUNTIFS(Bonanza!$O:$O,RESUMEN!$B7,Bonanza!$D:$D,RESUMEN!$B$4,Bonanza!$M:$M,RESUMEN!F$4)</f>
        <v>0</v>
      </c>
      <c r="H7" t="s">
        <v>887</v>
      </c>
      <c r="I7" s="79">
        <f>COUNTIFS(Bonanza!$O:$O,RESUMEN!$H7,Bonanza!$D:$D,RESUMEN!$H$4)</f>
        <v>0</v>
      </c>
      <c r="J7" s="79">
        <f>COUNTIFS(Bonanza!$O:$O,RESUMEN!$H7,Bonanza!$D:$D,RESUMEN!$H$4,Bonanza!$M:$M,RESUMEN!D$4)</f>
        <v>0</v>
      </c>
      <c r="K7" s="79">
        <f>COUNTIFS(Bonanza!$O:$O,RESUMEN!$H7,Bonanza!$D:$D,RESUMEN!$H$4,Bonanza!$M:$M,RESUMEN!E$4)</f>
        <v>0</v>
      </c>
      <c r="L7" s="79">
        <f>COUNTIFS(Bonanza!$O:$O,RESUMEN!$H7,Bonanza!$D:$D,RESUMEN!$H$4,Bonanza!$M:$M,RESUMEN!F$4)</f>
        <v>0</v>
      </c>
      <c r="N7" t="s">
        <v>887</v>
      </c>
      <c r="O7" s="79">
        <f t="shared" si="0"/>
        <v>0</v>
      </c>
      <c r="P7" s="79">
        <f t="shared" si="0"/>
        <v>0</v>
      </c>
      <c r="Q7" s="79">
        <f t="shared" si="0"/>
        <v>0</v>
      </c>
      <c r="R7" s="79">
        <f t="shared" si="0"/>
        <v>0</v>
      </c>
    </row>
    <row r="8" spans="2:18" x14ac:dyDescent="0.2">
      <c r="C8" s="79">
        <f>COUNTIFS(Bonanza!$O:$O,RESUMEN!$B8,Bonanza!$D:$D,RESUMEN!$B$4)</f>
        <v>0</v>
      </c>
      <c r="D8" s="79">
        <f>COUNTIFS(Bonanza!$O:$O,RESUMEN!$B8,Bonanza!$D:$D,RESUMEN!$B$4,Bonanza!$M:$M,RESUMEN!D$4)</f>
        <v>0</v>
      </c>
      <c r="E8" s="79">
        <f>COUNTIFS(Bonanza!$O:$O,RESUMEN!$B8,Bonanza!$D:$D,RESUMEN!$B$4,Bonanza!$M:$M,RESUMEN!E$4)</f>
        <v>0</v>
      </c>
      <c r="F8" s="79">
        <f>COUNTIFS(Bonanza!$O:$O,RESUMEN!$B8,Bonanza!$D:$D,RESUMEN!$B$4,Bonanza!$M:$M,RESUMEN!F$4)</f>
        <v>0</v>
      </c>
      <c r="I8" s="79">
        <f>COUNTIFS(Bonanza!$O:$O,RESUMEN!$H8,Bonanza!$D:$D,RESUMEN!$H$4)</f>
        <v>0</v>
      </c>
      <c r="J8" s="79">
        <f>COUNTIFS(Bonanza!$O:$O,RESUMEN!$H8,Bonanza!$D:$D,RESUMEN!$H$4,Bonanza!$M:$M,RESUMEN!D$4)</f>
        <v>0</v>
      </c>
      <c r="K8" s="79">
        <f>COUNTIFS(Bonanza!$O:$O,RESUMEN!$H8,Bonanza!$D:$D,RESUMEN!$H$4,Bonanza!$M:$M,RESUMEN!E$4)</f>
        <v>0</v>
      </c>
      <c r="L8" s="79">
        <f>COUNTIFS(Bonanza!$O:$O,RESUMEN!$H8,Bonanza!$D:$D,RESUMEN!$H$4,Bonanza!$M:$M,RESUMEN!F$4)</f>
        <v>0</v>
      </c>
      <c r="O8" s="79">
        <f t="shared" si="0"/>
        <v>0</v>
      </c>
      <c r="P8" s="79">
        <f t="shared" si="0"/>
        <v>0</v>
      </c>
      <c r="Q8" s="79">
        <f t="shared" si="0"/>
        <v>0</v>
      </c>
      <c r="R8" s="79">
        <f t="shared" si="0"/>
        <v>0</v>
      </c>
    </row>
    <row r="9" spans="2:18" x14ac:dyDescent="0.2">
      <c r="B9" s="54" t="s">
        <v>888</v>
      </c>
      <c r="C9" s="49">
        <f>SUM(C5:C8)</f>
        <v>123</v>
      </c>
      <c r="D9" s="49">
        <f t="shared" ref="D9:F9" si="1">SUM(D5:D8)</f>
        <v>98</v>
      </c>
      <c r="E9" s="49">
        <f t="shared" si="1"/>
        <v>25</v>
      </c>
      <c r="F9" s="49">
        <f t="shared" si="1"/>
        <v>0</v>
      </c>
      <c r="H9" s="54" t="s">
        <v>888</v>
      </c>
      <c r="I9" s="49">
        <f>SUM(I5:I8)</f>
        <v>68</v>
      </c>
      <c r="J9" s="49">
        <f t="shared" ref="J9" si="2">SUM(J5:J8)</f>
        <v>0</v>
      </c>
      <c r="K9" s="49">
        <f t="shared" ref="K9" si="3">SUM(K5:K8)</f>
        <v>0</v>
      </c>
      <c r="L9" s="49">
        <f t="shared" ref="L9" si="4">SUM(L5:L8)</f>
        <v>68</v>
      </c>
      <c r="N9" s="54" t="s">
        <v>888</v>
      </c>
      <c r="O9" s="49">
        <f>SUM(O5:O8)</f>
        <v>191</v>
      </c>
      <c r="P9" s="49">
        <f t="shared" ref="P9:R9" si="5">SUM(P5:P8)</f>
        <v>98</v>
      </c>
      <c r="Q9" s="49">
        <f t="shared" si="5"/>
        <v>25</v>
      </c>
      <c r="R9" s="49">
        <f t="shared" si="5"/>
        <v>68</v>
      </c>
    </row>
    <row r="10" spans="2:18" x14ac:dyDescent="0.2">
      <c r="C10" s="79"/>
      <c r="D10" s="79"/>
      <c r="E10" s="79"/>
      <c r="F10" s="79"/>
    </row>
    <row r="12" spans="2:18" x14ac:dyDescent="0.2">
      <c r="B12" s="49" t="s">
        <v>890</v>
      </c>
      <c r="C12" s="49" t="s">
        <v>16</v>
      </c>
      <c r="D12" s="49" t="s">
        <v>892</v>
      </c>
      <c r="E12" s="49" t="s">
        <v>893</v>
      </c>
      <c r="F12" s="49" t="s">
        <v>894</v>
      </c>
      <c r="G12" s="49" t="s">
        <v>895</v>
      </c>
      <c r="H12" s="49"/>
    </row>
    <row r="13" spans="2:18" x14ac:dyDescent="0.2">
      <c r="B13" t="s">
        <v>445</v>
      </c>
      <c r="C13" s="80">
        <f>SUMIF(Bonanza!$M:$M,RESUMEN!$B13,Bonanza!$P:$P)</f>
        <v>29786800</v>
      </c>
      <c r="D13" s="80">
        <f>SUMIF(Bonanza!$M:$M,RESUMEN!$B13,Bonanza!$R:$R)</f>
        <v>13198698.829999998</v>
      </c>
      <c r="E13" s="80">
        <f>SUMIF(Bonanza!$M:$M,RESUMEN!$B13,Bonanza!$T:$T)</f>
        <v>16588101.170000002</v>
      </c>
      <c r="F13" s="80" t="e">
        <f>SUMIF(Bonanza!$M:$M,RESUMEN!$B13,Bonanza!#REF!)</f>
        <v>#REF!</v>
      </c>
      <c r="G13" s="80" t="e">
        <f>E13-F13</f>
        <v>#REF!</v>
      </c>
      <c r="H13" s="80"/>
    </row>
    <row r="14" spans="2:18" x14ac:dyDescent="0.2">
      <c r="B14" t="s">
        <v>53</v>
      </c>
      <c r="C14" s="80">
        <f>SUMIF(Bonanza!$M:$M,RESUMEN!$B14,Bonanza!$P:$P)</f>
        <v>7218400</v>
      </c>
      <c r="D14" s="80">
        <f>SUMIF(Bonanza!$M:$M,RESUMEN!$B14,Bonanza!$R:$R)</f>
        <v>3105789</v>
      </c>
      <c r="E14" s="80">
        <f>SUMIF(Bonanza!$M:$M,RESUMEN!$B14,Bonanza!$T:$T)</f>
        <v>4112611</v>
      </c>
      <c r="F14" s="80" t="e">
        <f>SUMIF(Bonanza!$M:$M,RESUMEN!$B14,Bonanza!#REF!)</f>
        <v>#REF!</v>
      </c>
      <c r="G14" s="80" t="e">
        <f>E14-F14</f>
        <v>#REF!</v>
      </c>
      <c r="H14" s="80"/>
    </row>
    <row r="15" spans="2:18" x14ac:dyDescent="0.2">
      <c r="B15" t="s">
        <v>58</v>
      </c>
      <c r="C15" s="80">
        <f>SUMIF(Bonanza!$M:$M,RESUMEN!$B15,Bonanza!$P:$P)</f>
        <v>0</v>
      </c>
      <c r="D15" s="80">
        <f>SUMIF(Bonanza!$M:$M,RESUMEN!$B15,Bonanza!$R:$R)</f>
        <v>0</v>
      </c>
      <c r="E15" s="80">
        <f>SUMIF(Bonanza!$M:$M,RESUMEN!$B15,Bonanza!$T:$T)</f>
        <v>0</v>
      </c>
      <c r="F15" s="80" t="e">
        <f>SUMIF(Bonanza!$M:$M,RESUMEN!$B15,Bonanza!#REF!)</f>
        <v>#REF!</v>
      </c>
      <c r="G15" s="80" t="e">
        <f>E15-F15</f>
        <v>#REF!</v>
      </c>
      <c r="H15" s="80"/>
    </row>
    <row r="16" spans="2:18" x14ac:dyDescent="0.2">
      <c r="C16" s="80">
        <f>SUMIF(Bonanza!$M:$M,RESUMEN!$B16,Bonanza!$P:$P)</f>
        <v>0</v>
      </c>
      <c r="D16" s="80">
        <f>SUMIF(Bonanza!$M:$M,RESUMEN!$B16,Bonanza!$R:$R)</f>
        <v>0</v>
      </c>
      <c r="E16" s="80">
        <f>SUMIF(Bonanza!$M:$M,RESUMEN!$B16,Bonanza!$T:$T)</f>
        <v>0</v>
      </c>
      <c r="F16" s="80" t="e">
        <f>SUMIF(Bonanza!$M:$M,RESUMEN!$B16,Bonanza!#REF!)</f>
        <v>#REF!</v>
      </c>
      <c r="G16" s="80" t="e">
        <f>E16-F16</f>
        <v>#REF!</v>
      </c>
      <c r="H16" s="80"/>
    </row>
    <row r="17" spans="2:8" x14ac:dyDescent="0.2">
      <c r="B17" s="54" t="s">
        <v>888</v>
      </c>
      <c r="C17" s="81">
        <f>SUM(C13:C16)</f>
        <v>37005200</v>
      </c>
      <c r="D17" s="81">
        <f>SUM(D13:D16)</f>
        <v>16304487.829999998</v>
      </c>
      <c r="E17" s="81">
        <f t="shared" ref="E17:G17" si="6">SUM(E13:E16)</f>
        <v>20700712.170000002</v>
      </c>
      <c r="F17" s="81" t="e">
        <f t="shared" si="6"/>
        <v>#REF!</v>
      </c>
      <c r="G17" s="81" t="e">
        <f t="shared" si="6"/>
        <v>#REF!</v>
      </c>
      <c r="H17" s="81"/>
    </row>
    <row r="19" spans="2:8" x14ac:dyDescent="0.2">
      <c r="B19" s="49" t="s">
        <v>891</v>
      </c>
      <c r="C19" s="49" t="s">
        <v>16</v>
      </c>
      <c r="D19" s="49" t="s">
        <v>892</v>
      </c>
      <c r="E19" s="49" t="s">
        <v>893</v>
      </c>
      <c r="F19" s="49" t="s">
        <v>894</v>
      </c>
      <c r="G19" s="49" t="s">
        <v>895</v>
      </c>
      <c r="H19" s="49"/>
    </row>
    <row r="20" spans="2:8" x14ac:dyDescent="0.2">
      <c r="B20" t="s">
        <v>445</v>
      </c>
      <c r="C20" s="80">
        <f>SUMIFS(Bonanza!$Q:$Q,Bonanza!$M:$M,RESUMEN!$B20,Bonanza!$D:$D,RESUMEN!$B$19)</f>
        <v>0</v>
      </c>
      <c r="D20" s="80">
        <f>SUMIFS(Bonanza!$S:$S,Bonanza!$M:$M,RESUMEN!$B20,Bonanza!$D:$D,RESUMEN!$B$19)</f>
        <v>0</v>
      </c>
      <c r="E20" s="80">
        <f>SUMIFS(Bonanza!$U:$U,Bonanza!$M:$M,RESUMEN!$B20,Bonanza!$D:$D,RESUMEN!$B$19)</f>
        <v>0</v>
      </c>
      <c r="F20" s="80" t="e">
        <f>SUMIFS(Bonanza!#REF!,Bonanza!$M:$M,RESUMEN!$B20,Bonanza!$D:$D,RESUMEN!$B$19)</f>
        <v>#REF!</v>
      </c>
      <c r="G20" s="80" t="e">
        <f>E20-F20</f>
        <v>#REF!</v>
      </c>
    </row>
    <row r="21" spans="2:8" x14ac:dyDescent="0.2">
      <c r="B21" t="s">
        <v>53</v>
      </c>
      <c r="C21" s="80">
        <f>SUMIFS(Bonanza!$Q:$Q,Bonanza!$M:$M,RESUMEN!$B21,Bonanza!$D:$D,RESUMEN!$B$19)</f>
        <v>0</v>
      </c>
      <c r="D21" s="80">
        <f>SUMIFS(Bonanza!$S:$S,Bonanza!$M:$M,RESUMEN!$B21,Bonanza!$D:$D,RESUMEN!$B$19)</f>
        <v>0</v>
      </c>
      <c r="E21" s="80">
        <f>SUMIFS(Bonanza!$U:$U,Bonanza!$M:$M,RESUMEN!$B21,Bonanza!$D:$D,RESUMEN!$B$19)</f>
        <v>0</v>
      </c>
      <c r="F21" s="80" t="e">
        <f>SUMIFS(Bonanza!#REF!,Bonanza!$M:$M,RESUMEN!$B21,Bonanza!$D:$D,RESUMEN!$B$19)</f>
        <v>#REF!</v>
      </c>
      <c r="G21" s="80" t="e">
        <f>E21-F21</f>
        <v>#REF!</v>
      </c>
    </row>
    <row r="22" spans="2:8" x14ac:dyDescent="0.2">
      <c r="B22" t="s">
        <v>58</v>
      </c>
      <c r="C22" s="80">
        <f>SUMIFS(Bonanza!$Q:$Q,Bonanza!$M:$M,RESUMEN!$B22,Bonanza!$D:$D,RESUMEN!$B$19)</f>
        <v>568201305.08999991</v>
      </c>
      <c r="D22" s="80">
        <f>SUMIFS(Bonanza!$S:$S,Bonanza!$M:$M,RESUMEN!$B22,Bonanza!$D:$D,RESUMEN!$B$19)</f>
        <v>297181721.26999998</v>
      </c>
      <c r="E22" s="80">
        <f>SUMIFS(Bonanza!$U:$U,Bonanza!$M:$M,RESUMEN!$B22,Bonanza!$D:$D,RESUMEN!$B$19)</f>
        <v>271019583.81999999</v>
      </c>
      <c r="F22" s="80" t="e">
        <f>SUMIFS(Bonanza!#REF!,Bonanza!$M:$M,RESUMEN!$B22,Bonanza!$D:$D,RESUMEN!$B$19)</f>
        <v>#REF!</v>
      </c>
      <c r="G22" s="80" t="e">
        <f>E22-F22</f>
        <v>#REF!</v>
      </c>
    </row>
    <row r="23" spans="2:8" x14ac:dyDescent="0.2">
      <c r="C23" s="80">
        <f>SUMIF(Bonanza!$M:$M,RESUMEN!$B23,Bonanza!$Q:$Q)</f>
        <v>0</v>
      </c>
      <c r="D23" s="80">
        <f>SUMIFS(Bonanza!$S:$S,Bonanza!$M:$M,RESUMEN!$B23,Bonanza!$D:$D,RESUMEN!$B$19)</f>
        <v>0</v>
      </c>
      <c r="E23" s="80">
        <f>SUMIFS(Bonanza!$U:$U,Bonanza!$M:$M,RESUMEN!$B23,Bonanza!$D:$D,RESUMEN!$B$19)</f>
        <v>0</v>
      </c>
      <c r="F23" s="80" t="e">
        <f>SUMIFS(Bonanza!#REF!,Bonanza!$M:$M,RESUMEN!$B23,Bonanza!$D:$D,RESUMEN!$B$19)</f>
        <v>#REF!</v>
      </c>
      <c r="G23" s="80" t="e">
        <f>E23-F23</f>
        <v>#REF!</v>
      </c>
    </row>
    <row r="24" spans="2:8" x14ac:dyDescent="0.2">
      <c r="B24" s="54" t="s">
        <v>888</v>
      </c>
      <c r="C24" s="81">
        <f>SUM(C20:C23)</f>
        <v>568201305.08999991</v>
      </c>
      <c r="D24" s="81">
        <f>SUM(D20:D23)</f>
        <v>297181721.26999998</v>
      </c>
      <c r="E24" s="81">
        <f t="shared" ref="E24" si="7">SUM(E20:E23)</f>
        <v>271019583.81999999</v>
      </c>
      <c r="F24" s="81" t="e">
        <f t="shared" ref="F24" si="8">SUM(F20:F23)</f>
        <v>#REF!</v>
      </c>
      <c r="G24" s="81" t="e">
        <f t="shared" ref="G24" si="9">SUM(G20:G23)</f>
        <v>#REF!</v>
      </c>
    </row>
    <row r="26" spans="2:8" x14ac:dyDescent="0.2">
      <c r="B26" s="49" t="s">
        <v>896</v>
      </c>
      <c r="C26" s="49" t="s">
        <v>16</v>
      </c>
      <c r="D26" s="49" t="s">
        <v>892</v>
      </c>
      <c r="E26" s="49" t="s">
        <v>893</v>
      </c>
      <c r="F26" s="49" t="s">
        <v>894</v>
      </c>
      <c r="G26" s="49" t="s">
        <v>895</v>
      </c>
    </row>
    <row r="27" spans="2:8" x14ac:dyDescent="0.2">
      <c r="B27" t="s">
        <v>445</v>
      </c>
      <c r="C27" s="80">
        <f t="shared" ref="C27:G30" si="10">SUM((C13*$K$1)+C20)</f>
        <v>551055800</v>
      </c>
      <c r="D27" s="80">
        <f t="shared" si="10"/>
        <v>244175928.35499996</v>
      </c>
      <c r="E27" s="80">
        <f t="shared" si="10"/>
        <v>306879871.64500004</v>
      </c>
      <c r="F27" s="80" t="e">
        <f t="shared" si="10"/>
        <v>#REF!</v>
      </c>
      <c r="G27" s="80" t="e">
        <f t="shared" si="10"/>
        <v>#REF!</v>
      </c>
    </row>
    <row r="28" spans="2:8" x14ac:dyDescent="0.2">
      <c r="B28" t="s">
        <v>53</v>
      </c>
      <c r="C28" s="80">
        <f t="shared" si="10"/>
        <v>133540400</v>
      </c>
      <c r="D28" s="80">
        <f t="shared" si="10"/>
        <v>57457096.5</v>
      </c>
      <c r="E28" s="80">
        <f t="shared" si="10"/>
        <v>76083303.5</v>
      </c>
      <c r="F28" s="80" t="e">
        <f t="shared" si="10"/>
        <v>#REF!</v>
      </c>
      <c r="G28" s="80" t="e">
        <f t="shared" si="10"/>
        <v>#REF!</v>
      </c>
    </row>
    <row r="29" spans="2:8" x14ac:dyDescent="0.2">
      <c r="B29" t="s">
        <v>58</v>
      </c>
      <c r="C29" s="80">
        <f t="shared" si="10"/>
        <v>568201305.08999991</v>
      </c>
      <c r="D29" s="80">
        <f t="shared" si="10"/>
        <v>297181721.26999998</v>
      </c>
      <c r="E29" s="80">
        <f t="shared" si="10"/>
        <v>271019583.81999999</v>
      </c>
      <c r="F29" s="80" t="e">
        <f t="shared" si="10"/>
        <v>#REF!</v>
      </c>
      <c r="G29" s="80" t="e">
        <f t="shared" si="10"/>
        <v>#REF!</v>
      </c>
    </row>
    <row r="30" spans="2:8" x14ac:dyDescent="0.2">
      <c r="C30" s="80">
        <f t="shared" si="10"/>
        <v>0</v>
      </c>
      <c r="D30" s="80">
        <f t="shared" si="10"/>
        <v>0</v>
      </c>
      <c r="E30" s="80">
        <f t="shared" si="10"/>
        <v>0</v>
      </c>
      <c r="F30" s="80" t="e">
        <f t="shared" si="10"/>
        <v>#REF!</v>
      </c>
      <c r="G30" s="80" t="e">
        <f t="shared" si="10"/>
        <v>#REF!</v>
      </c>
    </row>
    <row r="31" spans="2:8" x14ac:dyDescent="0.2">
      <c r="B31" s="54" t="s">
        <v>888</v>
      </c>
      <c r="C31" s="81">
        <f>SUM(C27:C30)</f>
        <v>1252797505.0899999</v>
      </c>
      <c r="D31" s="81">
        <f>SUM(D27:D30)</f>
        <v>598814746.125</v>
      </c>
      <c r="E31" s="81">
        <f t="shared" ref="E31" si="11">SUM(E27:E30)</f>
        <v>653982758.96500003</v>
      </c>
      <c r="F31" s="81" t="e">
        <f t="shared" ref="F31" si="12">SUM(F27:F30)</f>
        <v>#REF!</v>
      </c>
      <c r="G31" s="81" t="e">
        <f t="shared" ref="G31" si="13">SUM(G27:G30)</f>
        <v>#REF!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942"/>
  <sheetViews>
    <sheetView showGridLines="0" tabSelected="1" workbookViewId="0">
      <pane xSplit="6" ySplit="6" topLeftCell="G7" activePane="bottomRight" state="frozen"/>
      <selection pane="topRight" activeCell="F1" sqref="F1"/>
      <selection pane="bottomLeft" activeCell="A7" sqref="A7"/>
      <selection pane="bottomRight" activeCell="K22" sqref="K22"/>
    </sheetView>
  </sheetViews>
  <sheetFormatPr baseColWidth="10" defaultColWidth="14.5" defaultRowHeight="15" customHeight="1" x14ac:dyDescent="0.2"/>
  <cols>
    <col min="1" max="1" width="12" style="61" customWidth="1"/>
    <col min="2" max="2" width="9.6640625" customWidth="1"/>
    <col min="3" max="4" width="11.5" customWidth="1"/>
    <col min="5" max="5" width="9.5" customWidth="1"/>
    <col min="6" max="6" width="34.33203125" customWidth="1"/>
    <col min="7" max="7" width="21.83203125" bestFit="1" customWidth="1"/>
    <col min="8" max="8" width="15.6640625" bestFit="1" customWidth="1"/>
    <col min="9" max="9" width="19.5" bestFit="1" customWidth="1"/>
    <col min="10" max="10" width="11.1640625" bestFit="1" customWidth="1"/>
    <col min="11" max="11" width="10.5" bestFit="1" customWidth="1"/>
    <col min="12" max="12" width="13.33203125" bestFit="1" customWidth="1"/>
    <col min="13" max="13" width="17.33203125" bestFit="1" customWidth="1"/>
    <col min="14" max="14" width="20.5" bestFit="1" customWidth="1"/>
    <col min="15" max="15" width="18" customWidth="1"/>
    <col min="16" max="16" width="18.1640625" customWidth="1"/>
    <col min="17" max="17" width="22.5" bestFit="1" customWidth="1"/>
    <col min="18" max="20" width="17.5" customWidth="1"/>
    <col min="21" max="21" width="18.5" customWidth="1"/>
    <col min="22" max="23" width="20.33203125" customWidth="1"/>
    <col min="24" max="24" width="23.83203125" bestFit="1" customWidth="1"/>
    <col min="25" max="27" width="20.33203125" customWidth="1"/>
    <col min="28" max="28" width="21.83203125" customWidth="1"/>
    <col min="29" max="30" width="20.33203125" customWidth="1"/>
    <col min="31" max="31" width="14" customWidth="1"/>
    <col min="32" max="32" width="16.5" customWidth="1"/>
    <col min="33" max="34" width="17.5" customWidth="1"/>
    <col min="35" max="36" width="18" customWidth="1"/>
    <col min="37" max="37" width="16" customWidth="1"/>
    <col min="38" max="38" width="78.33203125" customWidth="1"/>
    <col min="39" max="39" width="21" customWidth="1"/>
    <col min="40" max="40" width="13.6640625" customWidth="1"/>
    <col min="41" max="41" width="17.6640625" bestFit="1" customWidth="1"/>
    <col min="42" max="42" width="16.5" bestFit="1" customWidth="1"/>
  </cols>
  <sheetData>
    <row r="1" spans="1:45" ht="25" x14ac:dyDescent="0.2">
      <c r="A1" s="57"/>
      <c r="B1" s="89"/>
      <c r="C1" s="85"/>
      <c r="D1" s="86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85"/>
      <c r="S1" s="86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6"/>
      <c r="AI1" s="85"/>
      <c r="AJ1" s="86"/>
      <c r="AK1" s="85"/>
      <c r="AL1" s="85"/>
      <c r="AM1" s="85"/>
      <c r="AN1" s="85"/>
    </row>
    <row r="2" spans="1:45" ht="16" thickBot="1" x14ac:dyDescent="0.25">
      <c r="A2" s="58"/>
      <c r="B2" s="90" t="s">
        <v>14</v>
      </c>
      <c r="C2" s="91"/>
      <c r="D2" s="86"/>
      <c r="E2" s="91"/>
      <c r="F2" s="92"/>
      <c r="G2" s="10"/>
      <c r="H2" s="10"/>
      <c r="I2" s="11"/>
      <c r="J2" s="11"/>
      <c r="K2" s="11"/>
      <c r="L2" s="11"/>
      <c r="M2" s="11"/>
      <c r="N2" s="11"/>
      <c r="O2" s="11"/>
      <c r="P2" s="11"/>
      <c r="Q2" s="51"/>
      <c r="R2" s="11"/>
      <c r="S2" s="51"/>
      <c r="T2" s="11"/>
      <c r="U2" s="11"/>
      <c r="V2" s="11"/>
      <c r="W2" s="11"/>
      <c r="X2" s="55"/>
      <c r="Y2" s="11"/>
      <c r="Z2" s="11" t="s">
        <v>106</v>
      </c>
      <c r="AA2" s="11"/>
      <c r="AB2" s="11"/>
      <c r="AC2" s="11"/>
      <c r="AD2" s="11"/>
      <c r="AE2" s="12"/>
      <c r="AF2" s="12"/>
      <c r="AG2" s="13"/>
      <c r="AH2" s="114"/>
      <c r="AI2" s="13"/>
      <c r="AJ2" s="114"/>
      <c r="AK2" s="13"/>
      <c r="AL2" s="11"/>
      <c r="AM2" s="11"/>
      <c r="AN2" s="14"/>
    </row>
    <row r="3" spans="1:45" x14ac:dyDescent="0.2">
      <c r="A3" s="58"/>
      <c r="B3" s="93"/>
      <c r="C3" s="94"/>
      <c r="D3" s="86"/>
      <c r="E3" s="94"/>
      <c r="F3" s="86"/>
      <c r="G3" s="10"/>
      <c r="H3" s="10"/>
      <c r="I3" s="11"/>
      <c r="J3" s="11"/>
      <c r="K3" s="11"/>
      <c r="L3" s="11"/>
      <c r="M3" s="11"/>
      <c r="N3" s="11"/>
      <c r="O3" s="11"/>
      <c r="P3" s="14"/>
      <c r="Q3" s="67"/>
      <c r="R3" s="11"/>
      <c r="S3" s="51"/>
      <c r="T3" s="11"/>
      <c r="U3" s="15">
        <v>18.5</v>
      </c>
      <c r="V3" s="11"/>
      <c r="W3" s="16" t="s">
        <v>15</v>
      </c>
      <c r="X3" s="17"/>
      <c r="Y3" s="17">
        <f>X3-Y4</f>
        <v>0</v>
      </c>
      <c r="Z3" s="50">
        <f>U4-Y3</f>
        <v>653982758.96500003</v>
      </c>
      <c r="AA3" s="11"/>
      <c r="AB3" s="11"/>
      <c r="AC3" s="11"/>
      <c r="AD3" s="11"/>
      <c r="AE3" s="12"/>
      <c r="AF3" s="12"/>
      <c r="AG3" s="13"/>
      <c r="AH3" s="114"/>
      <c r="AI3" s="13"/>
      <c r="AJ3" s="114"/>
      <c r="AK3" s="13"/>
      <c r="AL3" s="11"/>
      <c r="AM3" s="11"/>
      <c r="AN3" s="14"/>
      <c r="AO3" s="66"/>
      <c r="AP3" s="66"/>
    </row>
    <row r="4" spans="1:45" ht="16" thickBot="1" x14ac:dyDescent="0.25">
      <c r="A4" s="58"/>
      <c r="B4" s="11"/>
      <c r="C4" s="16">
        <f>SUBTOTAL(3,C7:C197)</f>
        <v>191</v>
      </c>
      <c r="D4" s="78"/>
      <c r="E4" s="11"/>
      <c r="F4" s="10"/>
      <c r="G4" s="10"/>
      <c r="H4" s="10"/>
      <c r="I4" s="11"/>
      <c r="J4" s="11"/>
      <c r="K4" s="11"/>
      <c r="L4" s="11"/>
      <c r="M4" s="16">
        <f>SUBTOTAL(3,M7:M197)</f>
        <v>191</v>
      </c>
      <c r="N4" s="16"/>
      <c r="O4" s="11"/>
      <c r="P4" s="18">
        <f t="shared" ref="P4:U4" si="0">SUBTOTAL(9,P7:P197)</f>
        <v>37005200</v>
      </c>
      <c r="Q4" s="18">
        <f t="shared" si="0"/>
        <v>1252797505.0900002</v>
      </c>
      <c r="R4" s="18">
        <f t="shared" si="0"/>
        <v>16304487.829999998</v>
      </c>
      <c r="S4" s="18">
        <f t="shared" si="0"/>
        <v>297181721.26999998</v>
      </c>
      <c r="T4" s="18">
        <f t="shared" si="0"/>
        <v>20700712.170000002</v>
      </c>
      <c r="U4" s="18">
        <f t="shared" si="0"/>
        <v>653982758.96500003</v>
      </c>
      <c r="V4" s="11"/>
      <c r="W4" s="64">
        <f>SUBTOTAL(3,$W$7:$W$197)</f>
        <v>98</v>
      </c>
      <c r="X4" s="17" t="e">
        <f>SUBTOTAL(9,X7:X197)</f>
        <v>#N/A</v>
      </c>
      <c r="Y4" s="17">
        <f>SUM(Y7:Y197)</f>
        <v>0</v>
      </c>
      <c r="Z4" s="17" t="e">
        <f>SUBTOTAL(9,Z7:Z197)</f>
        <v>#N/A</v>
      </c>
      <c r="AA4" s="11"/>
      <c r="AB4" s="11"/>
      <c r="AC4" s="11"/>
      <c r="AD4" s="11"/>
      <c r="AE4" s="19">
        <f>SUBTOTAL(3,AE7:AE197)</f>
        <v>0</v>
      </c>
      <c r="AF4" s="19"/>
      <c r="AG4" s="13"/>
      <c r="AH4" s="114"/>
      <c r="AI4" s="13"/>
      <c r="AJ4" s="114"/>
      <c r="AK4" s="13"/>
      <c r="AL4" s="11"/>
      <c r="AM4" s="11"/>
      <c r="AN4" s="14"/>
      <c r="AO4" s="65"/>
    </row>
    <row r="5" spans="1:45" ht="16" thickBot="1" x14ac:dyDescent="0.25">
      <c r="A5" s="59"/>
      <c r="B5" s="95" t="s">
        <v>16</v>
      </c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7" t="s">
        <v>17</v>
      </c>
      <c r="Y5" s="98"/>
      <c r="Z5" s="98"/>
      <c r="AA5" s="99"/>
      <c r="AB5" s="100" t="s">
        <v>18</v>
      </c>
      <c r="AC5" s="98"/>
      <c r="AD5" s="99"/>
      <c r="AE5" s="101" t="s">
        <v>19</v>
      </c>
      <c r="AF5" s="85"/>
      <c r="AG5" s="85"/>
      <c r="AH5" s="86"/>
      <c r="AI5" s="85"/>
      <c r="AJ5" s="86"/>
      <c r="AK5" s="85"/>
      <c r="AL5" s="85"/>
      <c r="AM5" s="85"/>
      <c r="AN5" s="20"/>
      <c r="AO5" s="53"/>
      <c r="AP5" s="53"/>
    </row>
    <row r="6" spans="1:45" ht="32" x14ac:dyDescent="0.2">
      <c r="A6" s="60"/>
      <c r="B6" s="22" t="s">
        <v>20</v>
      </c>
      <c r="C6" s="23" t="s">
        <v>924</v>
      </c>
      <c r="D6" s="52" t="s">
        <v>889</v>
      </c>
      <c r="E6" s="23" t="s">
        <v>22</v>
      </c>
      <c r="F6" s="23" t="s">
        <v>23</v>
      </c>
      <c r="G6" s="23" t="s">
        <v>24</v>
      </c>
      <c r="H6" s="23" t="s">
        <v>25</v>
      </c>
      <c r="I6" s="23" t="s">
        <v>26</v>
      </c>
      <c r="J6" s="23" t="s">
        <v>27</v>
      </c>
      <c r="K6" s="23" t="s">
        <v>28</v>
      </c>
      <c r="L6" s="23" t="s">
        <v>29</v>
      </c>
      <c r="M6" s="23" t="s">
        <v>30</v>
      </c>
      <c r="N6" s="23" t="s">
        <v>31</v>
      </c>
      <c r="O6" s="23" t="s">
        <v>32</v>
      </c>
      <c r="P6" s="24" t="s">
        <v>118</v>
      </c>
      <c r="Q6" s="24" t="s">
        <v>119</v>
      </c>
      <c r="R6" s="24" t="s">
        <v>120</v>
      </c>
      <c r="S6" s="24" t="s">
        <v>121</v>
      </c>
      <c r="T6" s="24" t="s">
        <v>107</v>
      </c>
      <c r="U6" s="24" t="s">
        <v>36</v>
      </c>
      <c r="V6" s="23" t="s">
        <v>37</v>
      </c>
      <c r="W6" s="23" t="s">
        <v>38</v>
      </c>
      <c r="X6" s="25" t="s">
        <v>39</v>
      </c>
      <c r="Y6" s="25" t="s">
        <v>40</v>
      </c>
      <c r="Z6" s="25" t="s">
        <v>41</v>
      </c>
      <c r="AA6" s="25" t="s">
        <v>42</v>
      </c>
      <c r="AB6" s="26" t="s">
        <v>43</v>
      </c>
      <c r="AC6" s="27" t="s">
        <v>44</v>
      </c>
      <c r="AD6" s="28" t="s">
        <v>45</v>
      </c>
      <c r="AE6" s="23" t="s">
        <v>46</v>
      </c>
      <c r="AF6" s="23" t="s">
        <v>47</v>
      </c>
      <c r="AG6" s="29" t="s">
        <v>48</v>
      </c>
      <c r="AH6" s="115"/>
      <c r="AI6" s="30" t="s">
        <v>49</v>
      </c>
      <c r="AJ6" s="30" t="s">
        <v>925</v>
      </c>
      <c r="AK6" s="30" t="s">
        <v>50</v>
      </c>
      <c r="AL6" s="31" t="s">
        <v>51</v>
      </c>
      <c r="AM6" s="31" t="s">
        <v>52</v>
      </c>
      <c r="AN6" s="21"/>
      <c r="AO6" s="104" t="s">
        <v>897</v>
      </c>
      <c r="AP6" s="105" t="s">
        <v>898</v>
      </c>
      <c r="AQ6" s="106" t="s">
        <v>899</v>
      </c>
      <c r="AR6" s="107" t="s">
        <v>900</v>
      </c>
      <c r="AS6" s="107" t="s">
        <v>901</v>
      </c>
    </row>
    <row r="7" spans="1:45" x14ac:dyDescent="0.2">
      <c r="A7" s="60"/>
      <c r="B7" s="33">
        <v>1</v>
      </c>
      <c r="C7" s="33">
        <v>1</v>
      </c>
      <c r="D7" s="33" t="s">
        <v>890</v>
      </c>
      <c r="E7" s="34"/>
      <c r="F7" s="34" t="s">
        <v>245</v>
      </c>
      <c r="G7" s="34" t="s">
        <v>246</v>
      </c>
      <c r="H7" s="34"/>
      <c r="I7" s="34"/>
      <c r="J7" s="34"/>
      <c r="K7" s="34"/>
      <c r="L7" s="34"/>
      <c r="M7" s="34" t="s">
        <v>53</v>
      </c>
      <c r="N7" s="34"/>
      <c r="O7" s="34" t="s">
        <v>11</v>
      </c>
      <c r="P7" s="35">
        <v>375000</v>
      </c>
      <c r="Q7" s="35">
        <f>P7*$U$3</f>
        <v>6937500</v>
      </c>
      <c r="R7" s="35">
        <v>374500</v>
      </c>
      <c r="S7" s="35"/>
      <c r="T7" s="35">
        <f>P7-R7</f>
        <v>500</v>
      </c>
      <c r="U7" s="35">
        <f>T7*U$3</f>
        <v>9250</v>
      </c>
      <c r="V7" s="36"/>
      <c r="W7" s="37"/>
      <c r="X7" s="35" t="e">
        <f>VLOOKUP(C7,Banorte!F:K,6,FALSE)</f>
        <v>#N/A</v>
      </c>
      <c r="Y7" s="35"/>
      <c r="Z7" s="35" t="e">
        <f>X7-Y7</f>
        <v>#N/A</v>
      </c>
      <c r="AA7" s="38"/>
      <c r="AB7" s="34"/>
      <c r="AC7" s="43"/>
      <c r="AD7" s="44"/>
      <c r="AE7" s="33"/>
      <c r="AF7" s="39"/>
      <c r="AG7" s="40"/>
      <c r="AH7" s="114"/>
      <c r="AI7" s="109">
        <v>46265</v>
      </c>
      <c r="AJ7" s="116"/>
      <c r="AK7" s="41"/>
      <c r="AL7" s="33"/>
      <c r="AM7" s="33"/>
      <c r="AN7" s="42"/>
      <c r="AO7" s="112" t="s">
        <v>903</v>
      </c>
      <c r="AP7" s="113">
        <v>46227</v>
      </c>
      <c r="AQ7" s="109">
        <v>46265</v>
      </c>
      <c r="AR7" s="110" t="s">
        <v>53</v>
      </c>
      <c r="AS7" s="110" t="s">
        <v>34</v>
      </c>
    </row>
    <row r="8" spans="1:45" x14ac:dyDescent="0.2">
      <c r="A8" s="60"/>
      <c r="B8" s="33">
        <v>124</v>
      </c>
      <c r="C8" s="34">
        <v>2</v>
      </c>
      <c r="D8" s="34" t="s">
        <v>891</v>
      </c>
      <c r="E8" s="34"/>
      <c r="F8" s="34" t="s">
        <v>514</v>
      </c>
      <c r="G8" s="34" t="s">
        <v>515</v>
      </c>
      <c r="H8" s="34" t="s">
        <v>516</v>
      </c>
      <c r="I8" s="34"/>
      <c r="J8" s="34"/>
      <c r="K8" s="34"/>
      <c r="L8" s="34"/>
      <c r="M8" s="34" t="s">
        <v>58</v>
      </c>
      <c r="N8" s="34"/>
      <c r="O8" s="34" t="s">
        <v>11</v>
      </c>
      <c r="P8" s="35"/>
      <c r="Q8" s="35">
        <v>10990000</v>
      </c>
      <c r="R8" s="35"/>
      <c r="S8" s="35">
        <v>3297132.15</v>
      </c>
      <c r="T8" s="35"/>
      <c r="U8" s="35">
        <f>Q8-S8</f>
        <v>7692867.8499999996</v>
      </c>
      <c r="V8" s="36"/>
      <c r="W8" s="37"/>
      <c r="X8" s="35" t="e">
        <f>VLOOKUP(C8,Banorte!F:K,6,FALSE)</f>
        <v>#N/A</v>
      </c>
      <c r="Y8" s="35"/>
      <c r="Z8" s="35" t="e">
        <f>X8-Y8</f>
        <v>#N/A</v>
      </c>
      <c r="AA8" s="37"/>
      <c r="AB8" s="34"/>
      <c r="AC8" s="43"/>
      <c r="AD8" s="44"/>
      <c r="AE8" s="34"/>
      <c r="AF8" s="39"/>
      <c r="AG8" s="40"/>
      <c r="AH8" s="114"/>
      <c r="AI8" s="109">
        <v>46265</v>
      </c>
      <c r="AJ8" s="116"/>
      <c r="AK8" s="41"/>
      <c r="AL8" s="33"/>
      <c r="AM8" s="33"/>
      <c r="AN8" s="42"/>
      <c r="AO8" s="108" t="s">
        <v>904</v>
      </c>
      <c r="AP8" s="113">
        <v>46227</v>
      </c>
      <c r="AQ8" s="109">
        <v>46265</v>
      </c>
      <c r="AR8" s="110" t="s">
        <v>58</v>
      </c>
      <c r="AS8" s="110"/>
    </row>
    <row r="9" spans="1:45" x14ac:dyDescent="0.2">
      <c r="A9" s="60"/>
      <c r="B9" s="33">
        <v>125</v>
      </c>
      <c r="C9" s="34">
        <v>3</v>
      </c>
      <c r="D9" s="34" t="s">
        <v>891</v>
      </c>
      <c r="E9" s="34"/>
      <c r="F9" s="34" t="s">
        <v>96</v>
      </c>
      <c r="G9" s="34" t="s">
        <v>517</v>
      </c>
      <c r="H9" s="34" t="s">
        <v>516</v>
      </c>
      <c r="I9" s="34"/>
      <c r="J9" s="34"/>
      <c r="K9" s="34"/>
      <c r="L9" s="34"/>
      <c r="M9" s="34" t="s">
        <v>58</v>
      </c>
      <c r="N9" s="34"/>
      <c r="O9" s="34" t="s">
        <v>11</v>
      </c>
      <c r="P9" s="35"/>
      <c r="Q9" s="35">
        <v>13720000</v>
      </c>
      <c r="R9" s="35"/>
      <c r="S9" s="35">
        <v>13720000</v>
      </c>
      <c r="T9" s="35"/>
      <c r="U9" s="35">
        <f>Q9-S9</f>
        <v>0</v>
      </c>
      <c r="V9" s="36"/>
      <c r="W9" s="37"/>
      <c r="X9" s="35" t="e">
        <f>VLOOKUP(C9,Banorte!F:K,6,FALSE)</f>
        <v>#N/A</v>
      </c>
      <c r="Y9" s="35"/>
      <c r="Z9" s="35" t="e">
        <f>X9-Y9</f>
        <v>#N/A</v>
      </c>
      <c r="AA9" s="38"/>
      <c r="AB9" s="34"/>
      <c r="AC9" s="43"/>
      <c r="AD9" s="44"/>
      <c r="AE9" s="33"/>
      <c r="AF9" s="39"/>
      <c r="AG9" s="40"/>
      <c r="AH9" s="114"/>
      <c r="AI9" s="109">
        <v>46265</v>
      </c>
      <c r="AJ9" s="116"/>
      <c r="AK9" s="41"/>
      <c r="AL9" s="33"/>
      <c r="AM9" s="33"/>
      <c r="AN9" s="42"/>
      <c r="AO9" s="112" t="s">
        <v>905</v>
      </c>
      <c r="AP9" s="113">
        <v>46227</v>
      </c>
      <c r="AQ9" s="109">
        <v>46265</v>
      </c>
      <c r="AR9" s="110" t="s">
        <v>58</v>
      </c>
      <c r="AS9" s="110" t="s">
        <v>34</v>
      </c>
    </row>
    <row r="10" spans="1:45" x14ac:dyDescent="0.2">
      <c r="A10" s="60"/>
      <c r="B10" s="33">
        <v>2</v>
      </c>
      <c r="C10" s="33">
        <v>4</v>
      </c>
      <c r="D10" s="33" t="s">
        <v>890</v>
      </c>
      <c r="E10" s="34"/>
      <c r="F10" s="34" t="s">
        <v>247</v>
      </c>
      <c r="G10" s="34" t="s">
        <v>248</v>
      </c>
      <c r="H10" s="34"/>
      <c r="I10" s="34"/>
      <c r="J10" s="34"/>
      <c r="K10" s="34"/>
      <c r="L10" s="34"/>
      <c r="M10" s="34" t="s">
        <v>445</v>
      </c>
      <c r="N10" s="34"/>
      <c r="O10" s="34" t="s">
        <v>11</v>
      </c>
      <c r="P10" s="35">
        <v>375000</v>
      </c>
      <c r="Q10" s="35">
        <f>P10*$U$3</f>
        <v>6937500</v>
      </c>
      <c r="R10" s="35">
        <v>133220</v>
      </c>
      <c r="S10" s="35"/>
      <c r="T10" s="35">
        <f>P10-R10</f>
        <v>241780</v>
      </c>
      <c r="U10" s="35">
        <f>T10*U$3</f>
        <v>4472930</v>
      </c>
      <c r="V10" s="36"/>
      <c r="W10" s="37" t="s">
        <v>55</v>
      </c>
      <c r="X10" s="35" t="e">
        <f>VLOOKUP(C10,Banorte!F:K,6,FALSE)</f>
        <v>#N/A</v>
      </c>
      <c r="Y10" s="35"/>
      <c r="Z10" s="35" t="e">
        <f>X10-Y10</f>
        <v>#N/A</v>
      </c>
      <c r="AA10" s="37"/>
      <c r="AB10" s="34"/>
      <c r="AC10" s="43"/>
      <c r="AD10" s="44"/>
      <c r="AE10" s="34"/>
      <c r="AF10" s="39"/>
      <c r="AG10" s="40"/>
      <c r="AH10" s="114"/>
      <c r="AI10" s="109">
        <v>46265</v>
      </c>
      <c r="AJ10" s="116"/>
      <c r="AK10" s="41"/>
      <c r="AL10" s="33"/>
      <c r="AM10" s="33"/>
      <c r="AN10" s="42"/>
      <c r="AO10" s="108" t="s">
        <v>906</v>
      </c>
      <c r="AP10" s="113">
        <v>46227</v>
      </c>
      <c r="AQ10" s="109">
        <v>46265</v>
      </c>
      <c r="AR10" s="110" t="s">
        <v>445</v>
      </c>
      <c r="AS10" s="110"/>
    </row>
    <row r="11" spans="1:45" x14ac:dyDescent="0.2">
      <c r="A11" s="60"/>
      <c r="B11" s="33">
        <v>3</v>
      </c>
      <c r="C11" s="33">
        <v>5</v>
      </c>
      <c r="D11" s="33" t="s">
        <v>890</v>
      </c>
      <c r="E11" s="34"/>
      <c r="F11" s="34" t="s">
        <v>249</v>
      </c>
      <c r="G11" s="34" t="s">
        <v>250</v>
      </c>
      <c r="H11" s="34"/>
      <c r="I11" s="34"/>
      <c r="J11" s="34"/>
      <c r="K11" s="34"/>
      <c r="L11" s="34"/>
      <c r="M11" s="34" t="s">
        <v>53</v>
      </c>
      <c r="N11" s="34"/>
      <c r="O11" s="34" t="s">
        <v>11</v>
      </c>
      <c r="P11" s="35">
        <v>375000</v>
      </c>
      <c r="Q11" s="35">
        <f>P11*$U$3</f>
        <v>6937500</v>
      </c>
      <c r="R11" s="35">
        <v>135800</v>
      </c>
      <c r="S11" s="35"/>
      <c r="T11" s="35">
        <f>P11-R11</f>
        <v>239200</v>
      </c>
      <c r="U11" s="35">
        <f>T11*U$3</f>
        <v>4425200</v>
      </c>
      <c r="V11" s="36"/>
      <c r="W11" s="37"/>
      <c r="X11" s="35" t="e">
        <f>VLOOKUP(C11,Banorte!F:K,6,FALSE)</f>
        <v>#N/A</v>
      </c>
      <c r="Y11" s="35"/>
      <c r="Z11" s="35" t="e">
        <f>X11-Y11</f>
        <v>#N/A</v>
      </c>
      <c r="AA11" s="37"/>
      <c r="AB11" s="34"/>
      <c r="AC11" s="43"/>
      <c r="AD11" s="44"/>
      <c r="AE11" s="34"/>
      <c r="AF11" s="39"/>
      <c r="AG11" s="40"/>
      <c r="AH11" s="114"/>
      <c r="AI11" s="109">
        <v>46265</v>
      </c>
      <c r="AJ11" s="116"/>
      <c r="AK11" s="41"/>
      <c r="AL11" s="33"/>
      <c r="AM11" s="33"/>
      <c r="AN11" s="42"/>
      <c r="AO11" s="108" t="s">
        <v>907</v>
      </c>
      <c r="AP11" s="113">
        <v>46227</v>
      </c>
      <c r="AQ11" s="109">
        <v>46265</v>
      </c>
      <c r="AR11" s="110" t="s">
        <v>53</v>
      </c>
      <c r="AS11" s="110"/>
    </row>
    <row r="12" spans="1:45" x14ac:dyDescent="0.2">
      <c r="A12" s="60"/>
      <c r="B12" s="33">
        <v>4</v>
      </c>
      <c r="C12" s="33">
        <v>6</v>
      </c>
      <c r="D12" s="33" t="s">
        <v>890</v>
      </c>
      <c r="E12" s="34"/>
      <c r="F12" s="34" t="s">
        <v>251</v>
      </c>
      <c r="G12" s="34" t="s">
        <v>252</v>
      </c>
      <c r="H12" s="34"/>
      <c r="I12" s="34"/>
      <c r="J12" s="34"/>
      <c r="K12" s="34"/>
      <c r="L12" s="34"/>
      <c r="M12" s="34" t="s">
        <v>445</v>
      </c>
      <c r="N12" s="34"/>
      <c r="O12" s="34" t="s">
        <v>11</v>
      </c>
      <c r="P12" s="35">
        <v>375000</v>
      </c>
      <c r="Q12" s="35">
        <f>P12*$U$3</f>
        <v>6937500</v>
      </c>
      <c r="R12" s="35">
        <v>133220</v>
      </c>
      <c r="S12" s="35"/>
      <c r="T12" s="35">
        <f>P12-R12</f>
        <v>241780</v>
      </c>
      <c r="U12" s="35">
        <f>T12*U$3</f>
        <v>4472930</v>
      </c>
      <c r="V12" s="36"/>
      <c r="W12" s="37" t="s">
        <v>55</v>
      </c>
      <c r="X12" s="35" t="e">
        <f>VLOOKUP(C12,Banorte!F:K,6,FALSE)</f>
        <v>#N/A</v>
      </c>
      <c r="Y12" s="35"/>
      <c r="Z12" s="35" t="e">
        <f>X12-Y12</f>
        <v>#N/A</v>
      </c>
      <c r="AA12" s="38"/>
      <c r="AB12" s="34"/>
      <c r="AC12" s="43"/>
      <c r="AD12" s="44"/>
      <c r="AE12" s="33"/>
      <c r="AF12" s="39"/>
      <c r="AG12" s="40"/>
      <c r="AH12" s="114"/>
      <c r="AI12" s="109">
        <v>46265</v>
      </c>
      <c r="AJ12" s="116"/>
      <c r="AK12" s="41"/>
      <c r="AL12" s="33"/>
      <c r="AM12" s="33"/>
      <c r="AN12" s="42"/>
      <c r="AO12" s="108" t="s">
        <v>908</v>
      </c>
      <c r="AP12" s="113">
        <v>46227</v>
      </c>
      <c r="AQ12" s="109">
        <v>46265</v>
      </c>
      <c r="AR12" s="110" t="s">
        <v>445</v>
      </c>
      <c r="AS12" s="110"/>
    </row>
    <row r="13" spans="1:45" x14ac:dyDescent="0.2">
      <c r="A13" s="60"/>
      <c r="B13" s="33">
        <v>5</v>
      </c>
      <c r="C13" s="33">
        <v>7</v>
      </c>
      <c r="D13" s="33" t="s">
        <v>890</v>
      </c>
      <c r="E13" s="34"/>
      <c r="F13" s="34" t="s">
        <v>253</v>
      </c>
      <c r="G13" s="34" t="s">
        <v>254</v>
      </c>
      <c r="H13" s="34"/>
      <c r="I13" s="34"/>
      <c r="J13" s="34"/>
      <c r="K13" s="34"/>
      <c r="L13" s="34"/>
      <c r="M13" s="34" t="s">
        <v>445</v>
      </c>
      <c r="N13" s="34"/>
      <c r="O13" s="34" t="s">
        <v>11</v>
      </c>
      <c r="P13" s="35">
        <v>375000</v>
      </c>
      <c r="Q13" s="35">
        <f>P13*$U$3</f>
        <v>6937500</v>
      </c>
      <c r="R13" s="35">
        <v>133220</v>
      </c>
      <c r="S13" s="35"/>
      <c r="T13" s="35">
        <f>P13-R13</f>
        <v>241780</v>
      </c>
      <c r="U13" s="35">
        <f>T13*U$3</f>
        <v>4472930</v>
      </c>
      <c r="V13" s="36"/>
      <c r="W13" s="37" t="s">
        <v>55</v>
      </c>
      <c r="X13" s="35" t="e">
        <f>VLOOKUP(C13,Banorte!F:K,6,FALSE)</f>
        <v>#N/A</v>
      </c>
      <c r="Y13" s="35"/>
      <c r="Z13" s="35" t="e">
        <f>X13-Y13</f>
        <v>#N/A</v>
      </c>
      <c r="AA13" s="37"/>
      <c r="AB13" s="34"/>
      <c r="AC13" s="43"/>
      <c r="AD13" s="44"/>
      <c r="AE13" s="34"/>
      <c r="AF13" s="39"/>
      <c r="AG13" s="40"/>
      <c r="AH13" s="114"/>
      <c r="AI13" s="109">
        <v>46265</v>
      </c>
      <c r="AJ13" s="116"/>
      <c r="AK13" s="41"/>
      <c r="AL13" s="33"/>
      <c r="AM13" s="33"/>
      <c r="AN13" s="42"/>
      <c r="AO13" s="108" t="s">
        <v>909</v>
      </c>
      <c r="AP13" s="113">
        <v>46227</v>
      </c>
      <c r="AQ13" s="109">
        <v>46265</v>
      </c>
      <c r="AR13" s="110" t="s">
        <v>445</v>
      </c>
      <c r="AS13" s="110"/>
    </row>
    <row r="14" spans="1:45" x14ac:dyDescent="0.2">
      <c r="A14" s="60"/>
      <c r="B14" s="33">
        <v>6</v>
      </c>
      <c r="C14" s="33">
        <v>8</v>
      </c>
      <c r="D14" s="33" t="s">
        <v>890</v>
      </c>
      <c r="E14" s="34"/>
      <c r="F14" s="34" t="s">
        <v>255</v>
      </c>
      <c r="G14" s="34" t="s">
        <v>256</v>
      </c>
      <c r="H14" s="34"/>
      <c r="I14" s="34"/>
      <c r="J14" s="34"/>
      <c r="K14" s="34"/>
      <c r="L14" s="34"/>
      <c r="M14" s="34" t="s">
        <v>445</v>
      </c>
      <c r="N14" s="34"/>
      <c r="O14" s="34" t="s">
        <v>11</v>
      </c>
      <c r="P14" s="35">
        <v>375000</v>
      </c>
      <c r="Q14" s="35">
        <f>P14*$U$3</f>
        <v>6937500</v>
      </c>
      <c r="R14" s="35">
        <v>207852.45</v>
      </c>
      <c r="S14" s="35"/>
      <c r="T14" s="35">
        <f>P14-R14</f>
        <v>167147.54999999999</v>
      </c>
      <c r="U14" s="35">
        <f>T14*U$3</f>
        <v>3092229.6749999998</v>
      </c>
      <c r="V14" s="36"/>
      <c r="W14" s="37" t="s">
        <v>55</v>
      </c>
      <c r="X14" s="35" t="e">
        <f>VLOOKUP(C14,Banorte!F:K,6,FALSE)</f>
        <v>#N/A</v>
      </c>
      <c r="Y14" s="35"/>
      <c r="Z14" s="35" t="e">
        <f>X14-Y14</f>
        <v>#N/A</v>
      </c>
      <c r="AA14" s="37"/>
      <c r="AB14" s="34"/>
      <c r="AC14" s="43"/>
      <c r="AD14" s="44"/>
      <c r="AE14" s="34"/>
      <c r="AF14" s="39"/>
      <c r="AG14" s="40"/>
      <c r="AH14" s="114"/>
      <c r="AI14" s="109">
        <v>46265</v>
      </c>
      <c r="AJ14" s="116"/>
      <c r="AK14" s="41"/>
      <c r="AL14" s="33"/>
      <c r="AM14" s="33"/>
      <c r="AN14" s="42"/>
      <c r="AO14" s="108" t="s">
        <v>910</v>
      </c>
      <c r="AP14" s="113">
        <v>46227</v>
      </c>
      <c r="AQ14" s="109">
        <v>46265</v>
      </c>
      <c r="AR14" s="110" t="s">
        <v>445</v>
      </c>
      <c r="AS14" s="110"/>
    </row>
    <row r="15" spans="1:45" x14ac:dyDescent="0.2">
      <c r="A15" s="60"/>
      <c r="B15" s="33">
        <v>7</v>
      </c>
      <c r="C15" s="33">
        <v>9</v>
      </c>
      <c r="D15" s="33" t="s">
        <v>890</v>
      </c>
      <c r="E15" s="34"/>
      <c r="F15" s="34" t="s">
        <v>257</v>
      </c>
      <c r="G15" s="34" t="s">
        <v>258</v>
      </c>
      <c r="H15" s="34"/>
      <c r="I15" s="34"/>
      <c r="J15" s="34"/>
      <c r="K15" s="34"/>
      <c r="L15" s="34"/>
      <c r="M15" s="34" t="s">
        <v>445</v>
      </c>
      <c r="N15" s="34"/>
      <c r="O15" s="34" t="s">
        <v>11</v>
      </c>
      <c r="P15" s="35">
        <v>375000</v>
      </c>
      <c r="Q15" s="35">
        <f>P15*$U$3</f>
        <v>6937500</v>
      </c>
      <c r="R15" s="35">
        <v>133220</v>
      </c>
      <c r="S15" s="35"/>
      <c r="T15" s="35">
        <f>P15-R15</f>
        <v>241780</v>
      </c>
      <c r="U15" s="35">
        <f>T15*U$3</f>
        <v>4472930</v>
      </c>
      <c r="V15" s="36"/>
      <c r="W15" s="37" t="s">
        <v>55</v>
      </c>
      <c r="X15" s="35" t="e">
        <f>VLOOKUP(C15,Banorte!F:K,6,FALSE)</f>
        <v>#N/A</v>
      </c>
      <c r="Y15" s="35"/>
      <c r="Z15" s="35" t="e">
        <f>X15-Y15</f>
        <v>#N/A</v>
      </c>
      <c r="AA15" s="38"/>
      <c r="AB15" s="34"/>
      <c r="AC15" s="43"/>
      <c r="AD15" s="44"/>
      <c r="AE15" s="33"/>
      <c r="AF15" s="39"/>
      <c r="AG15" s="40"/>
      <c r="AH15" s="114"/>
      <c r="AI15" s="109">
        <v>46265</v>
      </c>
      <c r="AJ15" s="116"/>
      <c r="AK15" s="41"/>
      <c r="AL15" s="33"/>
      <c r="AM15" s="33"/>
      <c r="AN15" s="42"/>
      <c r="AO15" s="108" t="s">
        <v>911</v>
      </c>
      <c r="AP15" s="113">
        <v>46227</v>
      </c>
      <c r="AQ15" s="109">
        <v>46265</v>
      </c>
      <c r="AR15" s="110" t="s">
        <v>445</v>
      </c>
      <c r="AS15" s="110"/>
    </row>
    <row r="16" spans="1:45" x14ac:dyDescent="0.2">
      <c r="A16" s="60"/>
      <c r="B16" s="33">
        <v>126</v>
      </c>
      <c r="C16" s="34">
        <v>10</v>
      </c>
      <c r="D16" s="34" t="s">
        <v>891</v>
      </c>
      <c r="E16" s="34"/>
      <c r="F16" s="34" t="s">
        <v>518</v>
      </c>
      <c r="G16" s="34" t="s">
        <v>519</v>
      </c>
      <c r="H16" s="34" t="s">
        <v>520</v>
      </c>
      <c r="I16" s="34"/>
      <c r="J16" s="34"/>
      <c r="K16" s="34"/>
      <c r="L16" s="34"/>
      <c r="M16" s="34" t="s">
        <v>58</v>
      </c>
      <c r="N16" s="34"/>
      <c r="O16" s="34" t="s">
        <v>11</v>
      </c>
      <c r="P16" s="35"/>
      <c r="Q16" s="35">
        <v>13426000</v>
      </c>
      <c r="R16" s="35"/>
      <c r="S16" s="35">
        <v>3356500</v>
      </c>
      <c r="T16" s="35"/>
      <c r="U16" s="35">
        <f>Q16-S16</f>
        <v>10069500</v>
      </c>
      <c r="V16" s="36"/>
      <c r="W16" s="37"/>
      <c r="X16" s="35" t="e">
        <f>VLOOKUP(C16,Banorte!F:K,6,FALSE)</f>
        <v>#N/A</v>
      </c>
      <c r="Y16" s="35"/>
      <c r="Z16" s="35" t="e">
        <f>X16-Y16</f>
        <v>#N/A</v>
      </c>
      <c r="AA16" s="37"/>
      <c r="AB16" s="34"/>
      <c r="AC16" s="43"/>
      <c r="AD16" s="44"/>
      <c r="AE16" s="34"/>
      <c r="AF16" s="39"/>
      <c r="AG16" s="40"/>
      <c r="AH16" s="114"/>
      <c r="AI16" s="109">
        <v>46265</v>
      </c>
      <c r="AJ16" s="116"/>
      <c r="AK16" s="41"/>
      <c r="AL16" s="33"/>
      <c r="AM16" s="33"/>
      <c r="AN16" s="42"/>
      <c r="AO16" s="108" t="s">
        <v>912</v>
      </c>
      <c r="AP16" s="113">
        <v>46227</v>
      </c>
      <c r="AQ16" s="109">
        <v>46265</v>
      </c>
      <c r="AR16" s="110" t="s">
        <v>58</v>
      </c>
      <c r="AS16" s="110"/>
    </row>
    <row r="17" spans="1:45" x14ac:dyDescent="0.2">
      <c r="A17" s="60"/>
      <c r="B17" s="33">
        <v>135</v>
      </c>
      <c r="C17" s="34">
        <v>11</v>
      </c>
      <c r="D17" s="34" t="s">
        <v>891</v>
      </c>
      <c r="E17" s="34"/>
      <c r="F17" s="34" t="s">
        <v>539</v>
      </c>
      <c r="G17" s="34" t="s">
        <v>540</v>
      </c>
      <c r="H17" s="34" t="s">
        <v>541</v>
      </c>
      <c r="I17" s="34"/>
      <c r="J17" s="34"/>
      <c r="K17" s="34"/>
      <c r="L17" s="34"/>
      <c r="M17" s="34" t="s">
        <v>58</v>
      </c>
      <c r="N17" s="34"/>
      <c r="O17" s="34" t="s">
        <v>11</v>
      </c>
      <c r="P17" s="35"/>
      <c r="Q17" s="35">
        <v>8504475</v>
      </c>
      <c r="R17" s="35"/>
      <c r="S17" s="35">
        <v>7223803.8300000001</v>
      </c>
      <c r="T17" s="35"/>
      <c r="U17" s="35">
        <f>Q17-S17</f>
        <v>1280671.17</v>
      </c>
      <c r="V17" s="36"/>
      <c r="W17" s="37"/>
      <c r="X17" s="35" t="e">
        <f>VLOOKUP(C17,Banorte!F:K,6,FALSE)</f>
        <v>#N/A</v>
      </c>
      <c r="Y17" s="35"/>
      <c r="Z17" s="35" t="e">
        <f>X17-Y17</f>
        <v>#N/A</v>
      </c>
      <c r="AA17" s="37"/>
      <c r="AB17" s="34"/>
      <c r="AC17" s="43"/>
      <c r="AD17" s="44"/>
      <c r="AE17" s="34"/>
      <c r="AF17" s="39"/>
      <c r="AG17" s="40"/>
      <c r="AH17" s="114"/>
      <c r="AI17" s="109">
        <v>46265</v>
      </c>
      <c r="AJ17" s="116"/>
      <c r="AK17" s="41"/>
      <c r="AL17" s="33"/>
      <c r="AM17" s="33"/>
      <c r="AN17" s="42"/>
      <c r="AO17" s="108" t="s">
        <v>913</v>
      </c>
      <c r="AP17" s="113">
        <v>46227</v>
      </c>
      <c r="AQ17" s="109">
        <v>46265</v>
      </c>
      <c r="AR17" s="110" t="s">
        <v>58</v>
      </c>
      <c r="AS17" s="110"/>
    </row>
    <row r="18" spans="1:45" x14ac:dyDescent="0.2">
      <c r="A18" s="60"/>
      <c r="B18" s="33">
        <v>153</v>
      </c>
      <c r="C18" s="34">
        <v>12</v>
      </c>
      <c r="D18" s="34" t="s">
        <v>891</v>
      </c>
      <c r="E18" s="34"/>
      <c r="F18" s="34" t="s">
        <v>579</v>
      </c>
      <c r="G18" s="34" t="s">
        <v>580</v>
      </c>
      <c r="H18" s="34" t="s">
        <v>581</v>
      </c>
      <c r="I18" s="34"/>
      <c r="J18" s="34"/>
      <c r="K18" s="34"/>
      <c r="L18" s="34"/>
      <c r="M18" s="34" t="s">
        <v>58</v>
      </c>
      <c r="N18" s="34"/>
      <c r="O18" s="34" t="s">
        <v>11</v>
      </c>
      <c r="P18" s="35"/>
      <c r="Q18" s="35">
        <v>8767500</v>
      </c>
      <c r="R18" s="35"/>
      <c r="S18" s="35">
        <v>2470399</v>
      </c>
      <c r="T18" s="35"/>
      <c r="U18" s="35">
        <f>Q18-S18</f>
        <v>6297101</v>
      </c>
      <c r="V18" s="36"/>
      <c r="W18" s="37"/>
      <c r="X18" s="35" t="e">
        <f>VLOOKUP(C18,Banorte!F:K,6,FALSE)</f>
        <v>#N/A</v>
      </c>
      <c r="Y18" s="35"/>
      <c r="Z18" s="35" t="e">
        <f>X18-Y18</f>
        <v>#N/A</v>
      </c>
      <c r="AA18" s="38"/>
      <c r="AB18" s="34"/>
      <c r="AC18" s="43"/>
      <c r="AD18" s="44"/>
      <c r="AE18" s="33"/>
      <c r="AF18" s="39"/>
      <c r="AG18" s="40"/>
      <c r="AH18" s="114"/>
      <c r="AI18" s="109">
        <v>46265</v>
      </c>
      <c r="AJ18" s="116"/>
      <c r="AK18" s="41"/>
      <c r="AL18" s="33"/>
      <c r="AM18" s="33"/>
      <c r="AN18" s="42"/>
      <c r="AO18" s="108" t="s">
        <v>914</v>
      </c>
      <c r="AP18" s="113">
        <v>46227</v>
      </c>
      <c r="AQ18" s="109">
        <v>46265</v>
      </c>
      <c r="AR18" s="110" t="s">
        <v>58</v>
      </c>
      <c r="AS18" s="110"/>
    </row>
    <row r="19" spans="1:45" x14ac:dyDescent="0.2">
      <c r="A19" s="60"/>
      <c r="B19" s="33">
        <v>8</v>
      </c>
      <c r="C19" s="33">
        <v>13</v>
      </c>
      <c r="D19" s="33" t="s">
        <v>890</v>
      </c>
      <c r="E19" s="34"/>
      <c r="F19" s="34" t="s">
        <v>259</v>
      </c>
      <c r="G19" s="34" t="s">
        <v>260</v>
      </c>
      <c r="H19" s="34"/>
      <c r="I19" s="34"/>
      <c r="J19" s="34"/>
      <c r="K19" s="34"/>
      <c r="L19" s="34"/>
      <c r="M19" s="34" t="s">
        <v>445</v>
      </c>
      <c r="N19" s="34"/>
      <c r="O19" s="34" t="s">
        <v>11</v>
      </c>
      <c r="P19" s="35">
        <v>325000</v>
      </c>
      <c r="Q19" s="35">
        <f>P19*$U$3</f>
        <v>6012500</v>
      </c>
      <c r="R19" s="35">
        <v>123220</v>
      </c>
      <c r="S19" s="35"/>
      <c r="T19" s="35">
        <f>P19-R19</f>
        <v>201780</v>
      </c>
      <c r="U19" s="35">
        <f>T19*U$3</f>
        <v>3732930</v>
      </c>
      <c r="V19" s="36"/>
      <c r="W19" s="37" t="s">
        <v>55</v>
      </c>
      <c r="X19" s="35" t="e">
        <f>VLOOKUP(C19,Banorte!F:K,6,FALSE)</f>
        <v>#N/A</v>
      </c>
      <c r="Y19" s="35"/>
      <c r="Z19" s="35" t="e">
        <f>X19-Y19</f>
        <v>#N/A</v>
      </c>
      <c r="AA19" s="37"/>
      <c r="AB19" s="34"/>
      <c r="AC19" s="43"/>
      <c r="AD19" s="44"/>
      <c r="AE19" s="34"/>
      <c r="AF19" s="39"/>
      <c r="AG19" s="40"/>
      <c r="AH19" s="114"/>
      <c r="AI19" s="109">
        <v>46265</v>
      </c>
      <c r="AJ19" s="116"/>
      <c r="AK19" s="41"/>
      <c r="AL19" s="33"/>
      <c r="AM19" s="33"/>
      <c r="AN19" s="42"/>
      <c r="AO19" s="108" t="s">
        <v>915</v>
      </c>
      <c r="AP19" s="113">
        <v>46227</v>
      </c>
      <c r="AQ19" s="109">
        <v>46265</v>
      </c>
      <c r="AR19" s="110" t="s">
        <v>445</v>
      </c>
      <c r="AS19" s="110"/>
    </row>
    <row r="20" spans="1:45" x14ac:dyDescent="0.2">
      <c r="A20" s="60"/>
      <c r="B20" s="33">
        <v>159</v>
      </c>
      <c r="C20" s="34">
        <v>14</v>
      </c>
      <c r="D20" s="34" t="s">
        <v>891</v>
      </c>
      <c r="E20" s="34"/>
      <c r="F20" s="34" t="s">
        <v>98</v>
      </c>
      <c r="G20" s="34" t="s">
        <v>590</v>
      </c>
      <c r="H20" s="34" t="s">
        <v>591</v>
      </c>
      <c r="I20" s="34"/>
      <c r="J20" s="34"/>
      <c r="K20" s="34"/>
      <c r="L20" s="34"/>
      <c r="M20" s="34" t="s">
        <v>58</v>
      </c>
      <c r="N20" s="34"/>
      <c r="O20" s="34" t="s">
        <v>11</v>
      </c>
      <c r="P20" s="35"/>
      <c r="Q20" s="35">
        <v>8882500</v>
      </c>
      <c r="R20" s="35"/>
      <c r="S20" s="35">
        <v>2664750</v>
      </c>
      <c r="T20" s="35"/>
      <c r="U20" s="35">
        <f>Q20-S20</f>
        <v>6217750</v>
      </c>
      <c r="V20" s="36"/>
      <c r="W20" s="37"/>
      <c r="X20" s="35" t="e">
        <f>VLOOKUP(C20,Banorte!F:K,6,FALSE)</f>
        <v>#N/A</v>
      </c>
      <c r="Y20" s="35"/>
      <c r="Z20" s="35" t="e">
        <f>X20-Y20</f>
        <v>#N/A</v>
      </c>
      <c r="AA20" s="37"/>
      <c r="AB20" s="34"/>
      <c r="AC20" s="43"/>
      <c r="AD20" s="44"/>
      <c r="AE20" s="34"/>
      <c r="AF20" s="39"/>
      <c r="AG20" s="40"/>
      <c r="AH20" s="114"/>
      <c r="AI20" s="109">
        <v>46265</v>
      </c>
      <c r="AJ20" s="116"/>
      <c r="AK20" s="41"/>
      <c r="AL20" s="33"/>
      <c r="AM20" s="33"/>
      <c r="AN20" s="42"/>
      <c r="AO20" s="108" t="s">
        <v>916</v>
      </c>
      <c r="AP20" s="113">
        <v>46227</v>
      </c>
      <c r="AQ20" s="109">
        <v>46265</v>
      </c>
      <c r="AR20" s="110" t="s">
        <v>58</v>
      </c>
      <c r="AS20" s="110"/>
    </row>
    <row r="21" spans="1:45" x14ac:dyDescent="0.2">
      <c r="A21" s="60"/>
      <c r="B21" s="33">
        <v>160</v>
      </c>
      <c r="C21" s="34">
        <v>15</v>
      </c>
      <c r="D21" s="34" t="s">
        <v>891</v>
      </c>
      <c r="E21" s="34"/>
      <c r="F21" s="34" t="s">
        <v>592</v>
      </c>
      <c r="G21" s="34" t="s">
        <v>593</v>
      </c>
      <c r="H21" s="34"/>
      <c r="I21" s="34"/>
      <c r="J21" s="34"/>
      <c r="K21" s="34"/>
      <c r="L21" s="34"/>
      <c r="M21" s="34" t="s">
        <v>58</v>
      </c>
      <c r="N21" s="34"/>
      <c r="O21" s="34" t="s">
        <v>11</v>
      </c>
      <c r="P21" s="35"/>
      <c r="Q21" s="35">
        <v>8438375</v>
      </c>
      <c r="R21" s="35"/>
      <c r="S21" s="35">
        <v>6750700</v>
      </c>
      <c r="T21" s="35"/>
      <c r="U21" s="35">
        <f>Q21-S21</f>
        <v>1687675</v>
      </c>
      <c r="V21" s="36"/>
      <c r="W21" s="37"/>
      <c r="X21" s="35" t="e">
        <f>VLOOKUP(C21,Banorte!F:K,6,FALSE)</f>
        <v>#N/A</v>
      </c>
      <c r="Y21" s="35"/>
      <c r="Z21" s="35" t="e">
        <f>X21-Y21</f>
        <v>#N/A</v>
      </c>
      <c r="AA21" s="37"/>
      <c r="AB21" s="34"/>
      <c r="AC21" s="43"/>
      <c r="AD21" s="44"/>
      <c r="AE21" s="34"/>
      <c r="AF21" s="39"/>
      <c r="AG21" s="40"/>
      <c r="AH21" s="114"/>
      <c r="AI21" s="109">
        <v>46265</v>
      </c>
      <c r="AJ21" s="116"/>
      <c r="AK21" s="41"/>
      <c r="AL21" s="33"/>
      <c r="AM21" s="33"/>
      <c r="AN21" s="42"/>
      <c r="AO21" s="108" t="s">
        <v>917</v>
      </c>
      <c r="AP21" s="113">
        <v>46227</v>
      </c>
      <c r="AQ21" s="109">
        <v>46265</v>
      </c>
      <c r="AR21" s="110" t="s">
        <v>58</v>
      </c>
      <c r="AS21" s="110"/>
    </row>
    <row r="22" spans="1:45" x14ac:dyDescent="0.2">
      <c r="A22" s="60"/>
      <c r="B22" s="33">
        <v>161</v>
      </c>
      <c r="C22" s="34">
        <v>16</v>
      </c>
      <c r="D22" s="34" t="s">
        <v>891</v>
      </c>
      <c r="E22" s="34"/>
      <c r="F22" s="34" t="s">
        <v>594</v>
      </c>
      <c r="G22" s="34" t="s">
        <v>595</v>
      </c>
      <c r="H22" s="34" t="s">
        <v>596</v>
      </c>
      <c r="I22" s="34"/>
      <c r="J22" s="34"/>
      <c r="K22" s="34"/>
      <c r="L22" s="34"/>
      <c r="M22" s="34" t="s">
        <v>58</v>
      </c>
      <c r="N22" s="34"/>
      <c r="O22" s="34" t="s">
        <v>11</v>
      </c>
      <c r="P22" s="35"/>
      <c r="Q22" s="35">
        <v>6381375</v>
      </c>
      <c r="R22" s="35"/>
      <c r="S22" s="35">
        <v>1915343.75</v>
      </c>
      <c r="T22" s="35"/>
      <c r="U22" s="35">
        <f>Q22-S22</f>
        <v>4466031.25</v>
      </c>
      <c r="V22" s="36"/>
      <c r="W22" s="37"/>
      <c r="X22" s="35" t="e">
        <f>VLOOKUP(C22,Banorte!F:K,6,FALSE)</f>
        <v>#N/A</v>
      </c>
      <c r="Y22" s="35"/>
      <c r="Z22" s="35" t="e">
        <f>X22-Y22</f>
        <v>#N/A</v>
      </c>
      <c r="AA22" s="38"/>
      <c r="AB22" s="34"/>
      <c r="AC22" s="43"/>
      <c r="AD22" s="44"/>
      <c r="AE22" s="33"/>
      <c r="AF22" s="39"/>
      <c r="AG22" s="40"/>
      <c r="AH22" s="114"/>
      <c r="AI22" s="109">
        <v>46265</v>
      </c>
      <c r="AJ22" s="116"/>
      <c r="AK22" s="41"/>
      <c r="AL22" s="33"/>
      <c r="AM22" s="33"/>
      <c r="AN22" s="42"/>
      <c r="AO22" s="108" t="s">
        <v>918</v>
      </c>
      <c r="AP22" s="113">
        <v>46227</v>
      </c>
      <c r="AQ22" s="109">
        <v>46265</v>
      </c>
      <c r="AR22" s="110" t="s">
        <v>58</v>
      </c>
      <c r="AS22" s="110"/>
    </row>
    <row r="23" spans="1:45" x14ac:dyDescent="0.2">
      <c r="A23" s="60"/>
      <c r="B23" s="33">
        <v>162</v>
      </c>
      <c r="C23" s="34">
        <v>17</v>
      </c>
      <c r="D23" s="34" t="s">
        <v>891</v>
      </c>
      <c r="E23" s="34"/>
      <c r="F23" s="34" t="s">
        <v>597</v>
      </c>
      <c r="G23" s="34" t="s">
        <v>598</v>
      </c>
      <c r="H23" s="34" t="s">
        <v>599</v>
      </c>
      <c r="I23" s="34"/>
      <c r="J23" s="34"/>
      <c r="K23" s="34"/>
      <c r="L23" s="34"/>
      <c r="M23" s="34" t="s">
        <v>58</v>
      </c>
      <c r="N23" s="34"/>
      <c r="O23" s="34" t="s">
        <v>11</v>
      </c>
      <c r="P23" s="35"/>
      <c r="Q23" s="35">
        <v>9621150</v>
      </c>
      <c r="R23" s="35"/>
      <c r="S23" s="35">
        <v>5500000</v>
      </c>
      <c r="T23" s="35"/>
      <c r="U23" s="35">
        <f>Q23-S23</f>
        <v>4121150</v>
      </c>
      <c r="V23" s="36"/>
      <c r="W23" s="37"/>
      <c r="X23" s="35" t="e">
        <f>VLOOKUP(C23,Banorte!F:K,6,FALSE)</f>
        <v>#N/A</v>
      </c>
      <c r="Y23" s="35"/>
      <c r="Z23" s="35" t="e">
        <f>X23-Y23</f>
        <v>#N/A</v>
      </c>
      <c r="AA23" s="37"/>
      <c r="AB23" s="34"/>
      <c r="AC23" s="43"/>
      <c r="AD23" s="44"/>
      <c r="AE23" s="34"/>
      <c r="AF23" s="39"/>
      <c r="AG23" s="40"/>
      <c r="AH23" s="114"/>
      <c r="AI23" s="109">
        <v>46265</v>
      </c>
      <c r="AJ23" s="116"/>
      <c r="AK23" s="41"/>
      <c r="AL23" s="33"/>
      <c r="AM23" s="33"/>
      <c r="AN23" s="42"/>
      <c r="AO23" s="108" t="s">
        <v>919</v>
      </c>
      <c r="AP23" s="113">
        <v>46227</v>
      </c>
      <c r="AQ23" s="109">
        <v>46265</v>
      </c>
      <c r="AR23" s="110" t="s">
        <v>58</v>
      </c>
      <c r="AS23" s="110"/>
    </row>
    <row r="24" spans="1:45" x14ac:dyDescent="0.2">
      <c r="A24" s="60"/>
      <c r="B24" s="33">
        <v>163</v>
      </c>
      <c r="C24" s="34">
        <v>18</v>
      </c>
      <c r="D24" s="34" t="s">
        <v>891</v>
      </c>
      <c r="E24" s="34"/>
      <c r="F24" s="34" t="s">
        <v>600</v>
      </c>
      <c r="G24" s="34" t="s">
        <v>601</v>
      </c>
      <c r="H24" s="34" t="s">
        <v>602</v>
      </c>
      <c r="I24" s="34"/>
      <c r="J24" s="34"/>
      <c r="K24" s="34"/>
      <c r="L24" s="34"/>
      <c r="M24" s="34" t="s">
        <v>58</v>
      </c>
      <c r="N24" s="34"/>
      <c r="O24" s="34" t="s">
        <v>11</v>
      </c>
      <c r="P24" s="35"/>
      <c r="Q24" s="35">
        <v>9817500</v>
      </c>
      <c r="R24" s="35"/>
      <c r="S24" s="35">
        <v>4432738.03</v>
      </c>
      <c r="T24" s="35"/>
      <c r="U24" s="35">
        <f>Q24-S24</f>
        <v>5384761.9699999997</v>
      </c>
      <c r="V24" s="36"/>
      <c r="W24" s="37"/>
      <c r="X24" s="35" t="e">
        <f>VLOOKUP(C24,Banorte!F:K,6,FALSE)</f>
        <v>#N/A</v>
      </c>
      <c r="Y24" s="35"/>
      <c r="Z24" s="35" t="e">
        <f>X24-Y24</f>
        <v>#N/A</v>
      </c>
      <c r="AA24" s="37"/>
      <c r="AB24" s="34"/>
      <c r="AC24" s="43"/>
      <c r="AD24" s="44"/>
      <c r="AE24" s="34"/>
      <c r="AF24" s="39"/>
      <c r="AG24" s="40"/>
      <c r="AH24" s="114"/>
      <c r="AI24" s="109">
        <v>46265</v>
      </c>
      <c r="AJ24" s="116"/>
      <c r="AK24" s="41"/>
      <c r="AL24" s="33"/>
      <c r="AM24" s="33"/>
      <c r="AN24" s="42"/>
      <c r="AO24" s="108" t="s">
        <v>920</v>
      </c>
      <c r="AP24" s="113">
        <v>46227</v>
      </c>
      <c r="AQ24" s="109">
        <v>46265</v>
      </c>
      <c r="AR24" s="110" t="s">
        <v>58</v>
      </c>
      <c r="AS24" s="110"/>
    </row>
    <row r="25" spans="1:45" x14ac:dyDescent="0.2">
      <c r="A25" s="60"/>
      <c r="B25" s="33">
        <v>9</v>
      </c>
      <c r="C25" s="33">
        <v>19</v>
      </c>
      <c r="D25" s="33" t="s">
        <v>890</v>
      </c>
      <c r="E25" s="34"/>
      <c r="F25" s="34" t="s">
        <v>261</v>
      </c>
      <c r="G25" s="34" t="s">
        <v>262</v>
      </c>
      <c r="H25" s="34"/>
      <c r="I25" s="34"/>
      <c r="J25" s="34"/>
      <c r="K25" s="34"/>
      <c r="L25" s="34"/>
      <c r="M25" s="34" t="s">
        <v>445</v>
      </c>
      <c r="N25" s="34"/>
      <c r="O25" s="34" t="s">
        <v>11</v>
      </c>
      <c r="P25" s="35">
        <v>325000</v>
      </c>
      <c r="Q25" s="35">
        <f>P25*$U$3</f>
        <v>6012500</v>
      </c>
      <c r="R25" s="35">
        <v>162500</v>
      </c>
      <c r="S25" s="35"/>
      <c r="T25" s="35">
        <f>P25-R25</f>
        <v>162500</v>
      </c>
      <c r="U25" s="35">
        <f>T25*U$3</f>
        <v>3006250</v>
      </c>
      <c r="V25" s="36"/>
      <c r="W25" s="37" t="s">
        <v>55</v>
      </c>
      <c r="X25" s="35" t="e">
        <f>VLOOKUP(C25,Banorte!F:K,6,FALSE)</f>
        <v>#N/A</v>
      </c>
      <c r="Y25" s="35"/>
      <c r="Z25" s="35" t="e">
        <f>X25-Y25</f>
        <v>#N/A</v>
      </c>
      <c r="AA25" s="37"/>
      <c r="AB25" s="34"/>
      <c r="AC25" s="43"/>
      <c r="AD25" s="44"/>
      <c r="AE25" s="34"/>
      <c r="AF25" s="39"/>
      <c r="AG25" s="40"/>
      <c r="AH25" s="114"/>
      <c r="AI25" s="109">
        <v>46265</v>
      </c>
      <c r="AJ25" s="116"/>
      <c r="AK25" s="41"/>
      <c r="AL25" s="33"/>
      <c r="AM25" s="33"/>
      <c r="AN25" s="42"/>
      <c r="AO25" s="108" t="s">
        <v>921</v>
      </c>
      <c r="AP25" s="113">
        <v>46227</v>
      </c>
      <c r="AQ25" s="109">
        <v>46265</v>
      </c>
      <c r="AR25" s="110" t="s">
        <v>445</v>
      </c>
      <c r="AS25" s="110"/>
    </row>
    <row r="26" spans="1:45" x14ac:dyDescent="0.2">
      <c r="A26" s="60"/>
      <c r="B26" s="33">
        <v>164</v>
      </c>
      <c r="C26" s="34">
        <v>20</v>
      </c>
      <c r="D26" s="34" t="s">
        <v>891</v>
      </c>
      <c r="E26" s="34"/>
      <c r="F26" s="34" t="s">
        <v>603</v>
      </c>
      <c r="G26" s="34" t="s">
        <v>100</v>
      </c>
      <c r="H26" s="34" t="s">
        <v>604</v>
      </c>
      <c r="I26" s="34"/>
      <c r="J26" s="34"/>
      <c r="K26" s="34"/>
      <c r="L26" s="34"/>
      <c r="M26" s="34" t="s">
        <v>58</v>
      </c>
      <c r="N26" s="34"/>
      <c r="O26" s="34" t="s">
        <v>11</v>
      </c>
      <c r="P26" s="35"/>
      <c r="Q26" s="35">
        <v>10308375</v>
      </c>
      <c r="R26" s="35"/>
      <c r="S26" s="35">
        <v>7308375</v>
      </c>
      <c r="T26" s="35"/>
      <c r="U26" s="35">
        <f>Q26-S26</f>
        <v>3000000</v>
      </c>
      <c r="V26" s="36"/>
      <c r="W26" s="37"/>
      <c r="X26" s="35" t="e">
        <f>VLOOKUP(C26,Banorte!F:K,6,FALSE)</f>
        <v>#N/A</v>
      </c>
      <c r="Y26" s="35"/>
      <c r="Z26" s="35" t="e">
        <f>X26-Y26</f>
        <v>#N/A</v>
      </c>
      <c r="AA26" s="38"/>
      <c r="AB26" s="34"/>
      <c r="AC26" s="43"/>
      <c r="AD26" s="44"/>
      <c r="AE26" s="33"/>
      <c r="AF26" s="39"/>
      <c r="AG26" s="40"/>
      <c r="AH26" s="114"/>
      <c r="AI26" s="109">
        <v>46265</v>
      </c>
      <c r="AJ26" s="116"/>
      <c r="AK26" s="41"/>
      <c r="AL26" s="33"/>
      <c r="AM26" s="33"/>
      <c r="AN26" s="42"/>
      <c r="AO26" s="108" t="s">
        <v>922</v>
      </c>
      <c r="AP26" s="113">
        <v>46227</v>
      </c>
      <c r="AQ26" s="109">
        <v>46265</v>
      </c>
      <c r="AR26" s="110" t="s">
        <v>58</v>
      </c>
      <c r="AS26" s="110"/>
    </row>
    <row r="27" spans="1:45" x14ac:dyDescent="0.2">
      <c r="A27" s="60"/>
      <c r="B27" s="33">
        <v>165</v>
      </c>
      <c r="C27" s="34">
        <v>21</v>
      </c>
      <c r="D27" s="34" t="s">
        <v>891</v>
      </c>
      <c r="E27" s="34"/>
      <c r="F27" s="34"/>
      <c r="G27" s="34"/>
      <c r="H27" s="34"/>
      <c r="I27" s="34"/>
      <c r="J27" s="34"/>
      <c r="K27" s="34"/>
      <c r="L27" s="34"/>
      <c r="M27" s="34" t="s">
        <v>58</v>
      </c>
      <c r="N27" s="34"/>
      <c r="O27" s="34" t="s">
        <v>12</v>
      </c>
      <c r="P27" s="35"/>
      <c r="Q27" s="35"/>
      <c r="R27" s="35"/>
      <c r="S27" s="35"/>
      <c r="T27" s="35"/>
      <c r="U27" s="35">
        <f>Q27-S27</f>
        <v>0</v>
      </c>
      <c r="V27" s="36"/>
      <c r="W27" s="37"/>
      <c r="X27" s="35" t="e">
        <f>VLOOKUP(C27,Banorte!F:K,6,FALSE)</f>
        <v>#N/A</v>
      </c>
      <c r="Y27" s="35"/>
      <c r="Z27" s="35" t="e">
        <f>X27-Y27</f>
        <v>#N/A</v>
      </c>
      <c r="AA27" s="37"/>
      <c r="AB27" s="34"/>
      <c r="AC27" s="43"/>
      <c r="AD27" s="44"/>
      <c r="AE27" s="34"/>
      <c r="AF27" s="39"/>
      <c r="AG27" s="40"/>
      <c r="AH27" s="114"/>
      <c r="AI27" s="109">
        <v>46265</v>
      </c>
      <c r="AJ27" s="116"/>
      <c r="AK27" s="41"/>
      <c r="AL27" s="33"/>
      <c r="AM27" s="33"/>
      <c r="AN27" s="42"/>
      <c r="AO27" s="111" t="s">
        <v>923</v>
      </c>
      <c r="AP27" s="113">
        <v>46227</v>
      </c>
      <c r="AQ27" s="109">
        <v>46265</v>
      </c>
      <c r="AR27" s="110" t="s">
        <v>58</v>
      </c>
      <c r="AS27" s="110" t="s">
        <v>902</v>
      </c>
    </row>
    <row r="28" spans="1:45" x14ac:dyDescent="0.2">
      <c r="A28" s="60"/>
      <c r="B28" s="33">
        <v>10</v>
      </c>
      <c r="C28" s="33">
        <v>301</v>
      </c>
      <c r="D28" s="33" t="s">
        <v>890</v>
      </c>
      <c r="E28" s="34"/>
      <c r="F28" s="34" t="s">
        <v>263</v>
      </c>
      <c r="G28" s="34" t="s">
        <v>264</v>
      </c>
      <c r="H28" s="34"/>
      <c r="I28" s="34"/>
      <c r="J28" s="34"/>
      <c r="K28" s="34"/>
      <c r="L28" s="34"/>
      <c r="M28" s="34" t="s">
        <v>445</v>
      </c>
      <c r="N28" s="34"/>
      <c r="O28" s="34" t="s">
        <v>11</v>
      </c>
      <c r="P28" s="35">
        <v>209800</v>
      </c>
      <c r="Q28" s="35">
        <f>P28*$U$3</f>
        <v>3881300</v>
      </c>
      <c r="R28" s="35">
        <v>83916</v>
      </c>
      <c r="S28" s="35"/>
      <c r="T28" s="35">
        <f>P28-R28</f>
        <v>125884</v>
      </c>
      <c r="U28" s="35">
        <f>T28*U$3</f>
        <v>2328854</v>
      </c>
      <c r="V28" s="36"/>
      <c r="W28" s="37" t="s">
        <v>55</v>
      </c>
      <c r="X28" s="35" t="e">
        <f>VLOOKUP(C28,Banorte!F:K,6,FALSE)</f>
        <v>#N/A</v>
      </c>
      <c r="Y28" s="35"/>
      <c r="Z28" s="35" t="e">
        <f>X28-Y28</f>
        <v>#N/A</v>
      </c>
      <c r="AA28" s="38"/>
      <c r="AB28" s="34"/>
      <c r="AC28" s="43"/>
      <c r="AD28" s="44"/>
      <c r="AE28" s="33"/>
      <c r="AF28" s="39"/>
      <c r="AG28" s="40"/>
      <c r="AH28" s="114"/>
      <c r="AI28" s="109">
        <v>46244</v>
      </c>
      <c r="AJ28" s="116"/>
      <c r="AK28" s="41"/>
      <c r="AL28" s="33"/>
      <c r="AM28" s="33"/>
      <c r="AN28" s="42"/>
      <c r="AO28" s="108">
        <v>301</v>
      </c>
      <c r="AP28" s="113">
        <v>46213</v>
      </c>
      <c r="AQ28" s="109">
        <v>46244</v>
      </c>
      <c r="AR28" s="110" t="s">
        <v>445</v>
      </c>
      <c r="AS28" s="110"/>
    </row>
    <row r="29" spans="1:45" x14ac:dyDescent="0.2">
      <c r="A29" s="60"/>
      <c r="B29" s="33">
        <v>11</v>
      </c>
      <c r="C29" s="33">
        <v>302</v>
      </c>
      <c r="D29" s="33" t="s">
        <v>890</v>
      </c>
      <c r="E29" s="34"/>
      <c r="F29" s="34" t="s">
        <v>265</v>
      </c>
      <c r="G29" s="34" t="s">
        <v>266</v>
      </c>
      <c r="H29" s="34"/>
      <c r="I29" s="34"/>
      <c r="J29" s="34"/>
      <c r="K29" s="34"/>
      <c r="L29" s="34"/>
      <c r="M29" s="34" t="s">
        <v>445</v>
      </c>
      <c r="N29" s="34"/>
      <c r="O29" s="34" t="s">
        <v>11</v>
      </c>
      <c r="P29" s="35">
        <v>209800</v>
      </c>
      <c r="Q29" s="35">
        <f>P29*$U$3</f>
        <v>3881300</v>
      </c>
      <c r="R29" s="35">
        <v>83918</v>
      </c>
      <c r="S29" s="35"/>
      <c r="T29" s="35">
        <f>P29-R29</f>
        <v>125882</v>
      </c>
      <c r="U29" s="35">
        <f>T29*U$3</f>
        <v>2328817</v>
      </c>
      <c r="V29" s="36"/>
      <c r="W29" s="37" t="s">
        <v>55</v>
      </c>
      <c r="X29" s="35" t="e">
        <f>VLOOKUP(C29,Banorte!F:K,6,FALSE)</f>
        <v>#N/A</v>
      </c>
      <c r="Y29" s="35"/>
      <c r="Z29" s="35" t="e">
        <f>X29-Y29</f>
        <v>#N/A</v>
      </c>
      <c r="AA29" s="37"/>
      <c r="AB29" s="34"/>
      <c r="AC29" s="43"/>
      <c r="AD29" s="44"/>
      <c r="AE29" s="34"/>
      <c r="AF29" s="39"/>
      <c r="AG29" s="40"/>
      <c r="AH29" s="114"/>
      <c r="AI29" s="109">
        <v>46244</v>
      </c>
      <c r="AJ29" s="116"/>
      <c r="AK29" s="41"/>
      <c r="AL29" s="33"/>
      <c r="AM29" s="33"/>
      <c r="AN29" s="42"/>
      <c r="AO29" s="108">
        <v>302</v>
      </c>
      <c r="AP29" s="113">
        <v>46213</v>
      </c>
      <c r="AQ29" s="109">
        <v>46244</v>
      </c>
      <c r="AR29" s="110" t="s">
        <v>445</v>
      </c>
      <c r="AS29" s="110"/>
    </row>
    <row r="30" spans="1:45" x14ac:dyDescent="0.2">
      <c r="A30" s="60"/>
      <c r="B30" s="33">
        <v>12</v>
      </c>
      <c r="C30" s="33">
        <v>303</v>
      </c>
      <c r="D30" s="33" t="s">
        <v>890</v>
      </c>
      <c r="E30" s="34"/>
      <c r="F30" s="34" t="s">
        <v>267</v>
      </c>
      <c r="G30" s="34" t="s">
        <v>268</v>
      </c>
      <c r="H30" s="34"/>
      <c r="I30" s="34"/>
      <c r="J30" s="34"/>
      <c r="K30" s="34"/>
      <c r="L30" s="34"/>
      <c r="M30" s="34" t="s">
        <v>445</v>
      </c>
      <c r="N30" s="34"/>
      <c r="O30" s="34" t="s">
        <v>11</v>
      </c>
      <c r="P30" s="35">
        <v>209800</v>
      </c>
      <c r="Q30" s="35">
        <f>P30*$U$3</f>
        <v>3881300</v>
      </c>
      <c r="R30" s="35">
        <v>83916</v>
      </c>
      <c r="S30" s="35"/>
      <c r="T30" s="35">
        <f>P30-R30</f>
        <v>125884</v>
      </c>
      <c r="U30" s="35">
        <f>T30*U$3</f>
        <v>2328854</v>
      </c>
      <c r="V30" s="36"/>
      <c r="W30" s="37" t="s">
        <v>55</v>
      </c>
      <c r="X30" s="35" t="e">
        <f>VLOOKUP(C30,Banorte!F:K,6,FALSE)</f>
        <v>#N/A</v>
      </c>
      <c r="Y30" s="35"/>
      <c r="Z30" s="35" t="e">
        <f>X30-Y30</f>
        <v>#N/A</v>
      </c>
      <c r="AA30" s="38"/>
      <c r="AB30" s="34"/>
      <c r="AC30" s="43"/>
      <c r="AD30" s="44"/>
      <c r="AE30" s="33"/>
      <c r="AF30" s="39"/>
      <c r="AG30" s="40"/>
      <c r="AH30" s="114"/>
      <c r="AI30" s="109">
        <v>46244</v>
      </c>
      <c r="AJ30" s="116"/>
      <c r="AK30" s="41"/>
      <c r="AL30" s="33"/>
      <c r="AM30" s="33"/>
      <c r="AN30" s="42"/>
      <c r="AO30" s="108">
        <v>303</v>
      </c>
      <c r="AP30" s="113">
        <v>46213</v>
      </c>
      <c r="AQ30" s="109">
        <v>46244</v>
      </c>
      <c r="AR30" s="110" t="s">
        <v>445</v>
      </c>
      <c r="AS30" s="110"/>
    </row>
    <row r="31" spans="1:45" x14ac:dyDescent="0.2">
      <c r="A31" s="60"/>
      <c r="B31" s="33">
        <v>166</v>
      </c>
      <c r="C31" s="34">
        <v>304</v>
      </c>
      <c r="D31" s="34" t="s">
        <v>891</v>
      </c>
      <c r="E31" s="34"/>
      <c r="F31" s="34" t="s">
        <v>605</v>
      </c>
      <c r="G31" s="34" t="s">
        <v>606</v>
      </c>
      <c r="H31" s="34"/>
      <c r="I31" s="34"/>
      <c r="J31" s="34"/>
      <c r="K31" s="34"/>
      <c r="L31" s="34"/>
      <c r="M31" s="34" t="s">
        <v>58</v>
      </c>
      <c r="N31" s="34"/>
      <c r="O31" s="34" t="s">
        <v>11</v>
      </c>
      <c r="P31" s="35"/>
      <c r="Q31" s="35">
        <v>8549000</v>
      </c>
      <c r="R31" s="35"/>
      <c r="S31" s="35">
        <v>8549000</v>
      </c>
      <c r="T31" s="35"/>
      <c r="U31" s="35">
        <f>Q31-S31</f>
        <v>0</v>
      </c>
      <c r="V31" s="36"/>
      <c r="W31" s="37"/>
      <c r="X31" s="35" t="e">
        <f>VLOOKUP(C31,Banorte!F:K,6,FALSE)</f>
        <v>#N/A</v>
      </c>
      <c r="Y31" s="35"/>
      <c r="Z31" s="35" t="e">
        <f>X31-Y31</f>
        <v>#N/A</v>
      </c>
      <c r="AA31" s="38"/>
      <c r="AB31" s="34"/>
      <c r="AC31" s="43"/>
      <c r="AD31" s="44"/>
      <c r="AE31" s="33"/>
      <c r="AF31" s="39"/>
      <c r="AG31" s="40"/>
      <c r="AH31" s="114"/>
      <c r="AI31" s="109">
        <v>46244</v>
      </c>
      <c r="AJ31" s="116"/>
      <c r="AK31" s="41"/>
      <c r="AL31" s="33"/>
      <c r="AM31" s="33"/>
      <c r="AN31" s="42"/>
      <c r="AO31" s="112">
        <v>304</v>
      </c>
      <c r="AP31" s="113">
        <v>46213</v>
      </c>
      <c r="AQ31" s="109">
        <v>46244</v>
      </c>
      <c r="AR31" s="110" t="s">
        <v>58</v>
      </c>
      <c r="AS31" s="110" t="s">
        <v>34</v>
      </c>
    </row>
    <row r="32" spans="1:45" x14ac:dyDescent="0.2">
      <c r="A32" s="60"/>
      <c r="B32" s="33">
        <v>13</v>
      </c>
      <c r="C32" s="33">
        <v>305</v>
      </c>
      <c r="D32" s="33" t="s">
        <v>890</v>
      </c>
      <c r="E32" s="34"/>
      <c r="F32" s="34" t="s">
        <v>269</v>
      </c>
      <c r="G32" s="34" t="s">
        <v>270</v>
      </c>
      <c r="H32" s="34"/>
      <c r="I32" s="34"/>
      <c r="J32" s="34"/>
      <c r="K32" s="34"/>
      <c r="L32" s="34"/>
      <c r="M32" s="34" t="s">
        <v>445</v>
      </c>
      <c r="N32" s="34"/>
      <c r="O32" s="34" t="s">
        <v>11</v>
      </c>
      <c r="P32" s="35">
        <v>363500</v>
      </c>
      <c r="Q32" s="35">
        <f>P32*$U$3</f>
        <v>6724750</v>
      </c>
      <c r="R32" s="35">
        <v>130920</v>
      </c>
      <c r="S32" s="35"/>
      <c r="T32" s="35">
        <f>P32-R32</f>
        <v>232580</v>
      </c>
      <c r="U32" s="35">
        <f>T32*U$3</f>
        <v>4302730</v>
      </c>
      <c r="V32" s="36"/>
      <c r="W32" s="37" t="s">
        <v>55</v>
      </c>
      <c r="X32" s="35" t="e">
        <f>VLOOKUP(C32,Banorte!F:K,6,FALSE)</f>
        <v>#N/A</v>
      </c>
      <c r="Y32" s="35"/>
      <c r="Z32" s="35" t="e">
        <f>X32-Y32</f>
        <v>#N/A</v>
      </c>
      <c r="AA32" s="37"/>
      <c r="AB32" s="34"/>
      <c r="AC32" s="43"/>
      <c r="AD32" s="44"/>
      <c r="AE32" s="34"/>
      <c r="AF32" s="39"/>
      <c r="AG32" s="40"/>
      <c r="AH32" s="114"/>
      <c r="AI32" s="109">
        <v>46244</v>
      </c>
      <c r="AJ32" s="116"/>
      <c r="AK32" s="41"/>
      <c r="AL32" s="33"/>
      <c r="AM32" s="33"/>
      <c r="AN32" s="42"/>
      <c r="AO32" s="108">
        <v>305</v>
      </c>
      <c r="AP32" s="113">
        <v>46213</v>
      </c>
      <c r="AQ32" s="109">
        <v>46244</v>
      </c>
      <c r="AR32" s="110" t="s">
        <v>445</v>
      </c>
      <c r="AS32" s="110"/>
    </row>
    <row r="33" spans="1:45" x14ac:dyDescent="0.2">
      <c r="A33" s="60"/>
      <c r="B33" s="33">
        <v>14</v>
      </c>
      <c r="C33" s="33">
        <v>306</v>
      </c>
      <c r="D33" s="33" t="s">
        <v>890</v>
      </c>
      <c r="E33" s="34"/>
      <c r="F33" s="34" t="s">
        <v>271</v>
      </c>
      <c r="G33" s="34" t="s">
        <v>272</v>
      </c>
      <c r="H33" s="34"/>
      <c r="I33" s="34"/>
      <c r="J33" s="34"/>
      <c r="K33" s="34"/>
      <c r="L33" s="34"/>
      <c r="M33" s="34" t="s">
        <v>445</v>
      </c>
      <c r="N33" s="34"/>
      <c r="O33" s="34" t="s">
        <v>11</v>
      </c>
      <c r="P33" s="35">
        <v>209800</v>
      </c>
      <c r="Q33" s="35">
        <f>P33*$U$3</f>
        <v>3881300</v>
      </c>
      <c r="R33" s="35">
        <v>83916</v>
      </c>
      <c r="S33" s="35"/>
      <c r="T33" s="35">
        <f>P33-R33</f>
        <v>125884</v>
      </c>
      <c r="U33" s="35">
        <f>T33*U$3</f>
        <v>2328854</v>
      </c>
      <c r="V33" s="36"/>
      <c r="W33" s="37" t="s">
        <v>55</v>
      </c>
      <c r="X33" s="35" t="e">
        <f>VLOOKUP(C33,Banorte!F:K,6,FALSE)</f>
        <v>#N/A</v>
      </c>
      <c r="Y33" s="35"/>
      <c r="Z33" s="35" t="e">
        <f>X33-Y33</f>
        <v>#N/A</v>
      </c>
      <c r="AA33" s="37"/>
      <c r="AB33" s="34"/>
      <c r="AC33" s="43"/>
      <c r="AD33" s="44"/>
      <c r="AE33" s="34"/>
      <c r="AF33" s="39"/>
      <c r="AG33" s="40"/>
      <c r="AH33" s="114"/>
      <c r="AI33" s="109">
        <v>46244</v>
      </c>
      <c r="AJ33" s="116"/>
      <c r="AK33" s="41"/>
      <c r="AL33" s="33"/>
      <c r="AM33" s="33"/>
      <c r="AN33" s="42"/>
      <c r="AO33" s="108">
        <v>306</v>
      </c>
      <c r="AP33" s="113">
        <v>46213</v>
      </c>
      <c r="AQ33" s="109">
        <v>46244</v>
      </c>
      <c r="AR33" s="110" t="s">
        <v>445</v>
      </c>
      <c r="AS33" s="110"/>
    </row>
    <row r="34" spans="1:45" x14ac:dyDescent="0.2">
      <c r="A34" s="60"/>
      <c r="B34" s="33">
        <v>15</v>
      </c>
      <c r="C34" s="33">
        <v>307</v>
      </c>
      <c r="D34" s="33" t="s">
        <v>890</v>
      </c>
      <c r="E34" s="34"/>
      <c r="F34" s="34" t="s">
        <v>273</v>
      </c>
      <c r="G34" s="34" t="s">
        <v>274</v>
      </c>
      <c r="H34" s="34"/>
      <c r="I34" s="34"/>
      <c r="J34" s="34"/>
      <c r="K34" s="34"/>
      <c r="L34" s="34"/>
      <c r="M34" s="34" t="s">
        <v>445</v>
      </c>
      <c r="N34" s="34"/>
      <c r="O34" s="34" t="s">
        <v>11</v>
      </c>
      <c r="P34" s="35">
        <v>209800</v>
      </c>
      <c r="Q34" s="35">
        <f>P34*$U$3</f>
        <v>3881300</v>
      </c>
      <c r="R34" s="35">
        <v>83916</v>
      </c>
      <c r="S34" s="35"/>
      <c r="T34" s="35">
        <f>P34-R34</f>
        <v>125884</v>
      </c>
      <c r="U34" s="35">
        <f>T34*U$3</f>
        <v>2328854</v>
      </c>
      <c r="V34" s="36"/>
      <c r="W34" s="37" t="s">
        <v>55</v>
      </c>
      <c r="X34" s="35" t="e">
        <f>VLOOKUP(C34,Banorte!F:K,6,FALSE)</f>
        <v>#N/A</v>
      </c>
      <c r="Y34" s="35"/>
      <c r="Z34" s="35" t="e">
        <f>X34-Y34</f>
        <v>#N/A</v>
      </c>
      <c r="AA34" s="38"/>
      <c r="AB34" s="34"/>
      <c r="AC34" s="43"/>
      <c r="AD34" s="44"/>
      <c r="AE34" s="33"/>
      <c r="AF34" s="39"/>
      <c r="AG34" s="40"/>
      <c r="AH34" s="114"/>
      <c r="AI34" s="109">
        <v>46244</v>
      </c>
      <c r="AJ34" s="116"/>
      <c r="AK34" s="41"/>
      <c r="AL34" s="33"/>
      <c r="AM34" s="33"/>
      <c r="AN34" s="42"/>
      <c r="AO34" s="108">
        <v>307</v>
      </c>
      <c r="AP34" s="113">
        <v>46213</v>
      </c>
      <c r="AQ34" s="109">
        <v>46244</v>
      </c>
      <c r="AR34" s="110" t="s">
        <v>445</v>
      </c>
      <c r="AS34" s="110"/>
    </row>
    <row r="35" spans="1:45" x14ac:dyDescent="0.2">
      <c r="A35" s="60"/>
      <c r="B35" s="33">
        <v>16</v>
      </c>
      <c r="C35" s="33">
        <v>308</v>
      </c>
      <c r="D35" s="33" t="s">
        <v>890</v>
      </c>
      <c r="E35" s="34"/>
      <c r="F35" s="34" t="s">
        <v>275</v>
      </c>
      <c r="G35" s="34" t="s">
        <v>276</v>
      </c>
      <c r="H35" s="34"/>
      <c r="I35" s="34"/>
      <c r="J35" s="34"/>
      <c r="K35" s="34"/>
      <c r="L35" s="34"/>
      <c r="M35" s="34" t="s">
        <v>53</v>
      </c>
      <c r="N35" s="34"/>
      <c r="O35" s="34" t="s">
        <v>11</v>
      </c>
      <c r="P35" s="35">
        <v>209800</v>
      </c>
      <c r="Q35" s="35">
        <f>P35*$U$3</f>
        <v>3881300</v>
      </c>
      <c r="R35" s="35">
        <v>83916</v>
      </c>
      <c r="S35" s="35"/>
      <c r="T35" s="35">
        <f>P35-R35</f>
        <v>125884</v>
      </c>
      <c r="U35" s="35">
        <f>T35*U$3</f>
        <v>2328854</v>
      </c>
      <c r="V35" s="36"/>
      <c r="W35" s="37"/>
      <c r="X35" s="35" t="e">
        <f>VLOOKUP(C35,Banorte!F:K,6,FALSE)</f>
        <v>#N/A</v>
      </c>
      <c r="Y35" s="35"/>
      <c r="Z35" s="35" t="e">
        <f>X35-Y35</f>
        <v>#N/A</v>
      </c>
      <c r="AA35" s="37"/>
      <c r="AB35" s="34"/>
      <c r="AC35" s="43"/>
      <c r="AD35" s="44"/>
      <c r="AE35" s="34"/>
      <c r="AF35" s="39"/>
      <c r="AG35" s="40"/>
      <c r="AH35" s="114"/>
      <c r="AI35" s="109">
        <v>46244</v>
      </c>
      <c r="AJ35" s="116"/>
      <c r="AK35" s="41"/>
      <c r="AL35" s="33"/>
      <c r="AM35" s="33"/>
      <c r="AN35" s="42"/>
      <c r="AO35" s="108">
        <v>308</v>
      </c>
      <c r="AP35" s="113">
        <v>46213</v>
      </c>
      <c r="AQ35" s="109">
        <v>46244</v>
      </c>
      <c r="AR35" s="110" t="s">
        <v>53</v>
      </c>
      <c r="AS35" s="110"/>
    </row>
    <row r="36" spans="1:45" x14ac:dyDescent="0.2">
      <c r="A36" s="60"/>
      <c r="B36" s="33">
        <v>17</v>
      </c>
      <c r="C36" s="33">
        <v>309</v>
      </c>
      <c r="D36" s="33" t="s">
        <v>890</v>
      </c>
      <c r="E36" s="34"/>
      <c r="F36" s="34" t="s">
        <v>277</v>
      </c>
      <c r="G36" s="34" t="s">
        <v>278</v>
      </c>
      <c r="H36" s="34"/>
      <c r="I36" s="34"/>
      <c r="J36" s="34"/>
      <c r="K36" s="34"/>
      <c r="L36" s="34"/>
      <c r="M36" s="34" t="s">
        <v>445</v>
      </c>
      <c r="N36" s="34"/>
      <c r="O36" s="34" t="s">
        <v>11</v>
      </c>
      <c r="P36" s="35">
        <v>209800</v>
      </c>
      <c r="Q36" s="35">
        <f>P36*$U$3</f>
        <v>3881300</v>
      </c>
      <c r="R36" s="35">
        <v>83916</v>
      </c>
      <c r="S36" s="35"/>
      <c r="T36" s="35">
        <f>P36-R36</f>
        <v>125884</v>
      </c>
      <c r="U36" s="35">
        <f>T36*U$3</f>
        <v>2328854</v>
      </c>
      <c r="V36" s="36"/>
      <c r="W36" s="37" t="s">
        <v>55</v>
      </c>
      <c r="X36" s="35" t="e">
        <f>VLOOKUP(C36,Banorte!F:K,6,FALSE)</f>
        <v>#N/A</v>
      </c>
      <c r="Y36" s="35"/>
      <c r="Z36" s="35" t="e">
        <f>X36-Y36</f>
        <v>#N/A</v>
      </c>
      <c r="AA36" s="37"/>
      <c r="AB36" s="34"/>
      <c r="AC36" s="43"/>
      <c r="AD36" s="44"/>
      <c r="AE36" s="34"/>
      <c r="AF36" s="39"/>
      <c r="AG36" s="40"/>
      <c r="AH36" s="114"/>
      <c r="AI36" s="109">
        <v>46244</v>
      </c>
      <c r="AJ36" s="116"/>
      <c r="AK36" s="41"/>
      <c r="AL36" s="33"/>
      <c r="AM36" s="33"/>
      <c r="AN36" s="42"/>
      <c r="AO36" s="108">
        <v>309</v>
      </c>
      <c r="AP36" s="113">
        <v>46213</v>
      </c>
      <c r="AQ36" s="109">
        <v>46244</v>
      </c>
      <c r="AR36" s="110" t="s">
        <v>445</v>
      </c>
      <c r="AS36" s="110"/>
    </row>
    <row r="37" spans="1:45" x14ac:dyDescent="0.2">
      <c r="A37" s="60"/>
      <c r="B37" s="33">
        <v>18</v>
      </c>
      <c r="C37" s="33">
        <v>310</v>
      </c>
      <c r="D37" s="33" t="s">
        <v>890</v>
      </c>
      <c r="E37" s="34"/>
      <c r="F37" s="34" t="s">
        <v>279</v>
      </c>
      <c r="G37" s="34" t="s">
        <v>280</v>
      </c>
      <c r="H37" s="34"/>
      <c r="I37" s="34"/>
      <c r="J37" s="34"/>
      <c r="K37" s="34"/>
      <c r="L37" s="34"/>
      <c r="M37" s="34" t="s">
        <v>53</v>
      </c>
      <c r="N37" s="34"/>
      <c r="O37" s="34" t="s">
        <v>11</v>
      </c>
      <c r="P37" s="35">
        <v>209800</v>
      </c>
      <c r="Q37" s="35">
        <f>P37*$U$3</f>
        <v>3881300</v>
      </c>
      <c r="R37" s="35">
        <v>83916</v>
      </c>
      <c r="S37" s="35"/>
      <c r="T37" s="35">
        <f>P37-R37</f>
        <v>125884</v>
      </c>
      <c r="U37" s="35">
        <f>T37*U$3</f>
        <v>2328854</v>
      </c>
      <c r="V37" s="36"/>
      <c r="W37" s="37"/>
      <c r="X37" s="35" t="e">
        <f>VLOOKUP(C37,Banorte!F:K,6,FALSE)</f>
        <v>#N/A</v>
      </c>
      <c r="Y37" s="35"/>
      <c r="Z37" s="35" t="e">
        <f>X37-Y37</f>
        <v>#N/A</v>
      </c>
      <c r="AA37" s="38"/>
      <c r="AB37" s="34"/>
      <c r="AC37" s="43"/>
      <c r="AD37" s="44"/>
      <c r="AE37" s="33"/>
      <c r="AF37" s="39"/>
      <c r="AG37" s="40"/>
      <c r="AH37" s="114"/>
      <c r="AI37" s="109">
        <v>46244</v>
      </c>
      <c r="AJ37" s="116"/>
      <c r="AK37" s="41"/>
      <c r="AL37" s="33"/>
      <c r="AM37" s="33"/>
      <c r="AN37" s="42"/>
      <c r="AO37" s="108">
        <v>310</v>
      </c>
      <c r="AP37" s="113">
        <v>46213</v>
      </c>
      <c r="AQ37" s="109">
        <v>46244</v>
      </c>
      <c r="AR37" s="110" t="s">
        <v>53</v>
      </c>
      <c r="AS37" s="110"/>
    </row>
    <row r="38" spans="1:45" x14ac:dyDescent="0.2">
      <c r="A38" s="60"/>
      <c r="B38" s="33">
        <v>19</v>
      </c>
      <c r="C38" s="33">
        <v>311</v>
      </c>
      <c r="D38" s="33" t="s">
        <v>890</v>
      </c>
      <c r="E38" s="34"/>
      <c r="F38" s="34" t="s">
        <v>281</v>
      </c>
      <c r="G38" s="34" t="s">
        <v>282</v>
      </c>
      <c r="H38" s="34"/>
      <c r="I38" s="34"/>
      <c r="J38" s="34"/>
      <c r="K38" s="34"/>
      <c r="L38" s="34"/>
      <c r="M38" s="34" t="s">
        <v>445</v>
      </c>
      <c r="N38" s="34"/>
      <c r="O38" s="34" t="s">
        <v>11</v>
      </c>
      <c r="P38" s="35">
        <v>209800</v>
      </c>
      <c r="Q38" s="35">
        <f>P38*$U$3</f>
        <v>3881300</v>
      </c>
      <c r="R38" s="35">
        <v>199310</v>
      </c>
      <c r="S38" s="35"/>
      <c r="T38" s="35">
        <f>P38-R38</f>
        <v>10490</v>
      </c>
      <c r="U38" s="35">
        <f>T38*U$3</f>
        <v>194065</v>
      </c>
      <c r="V38" s="36"/>
      <c r="W38" s="37" t="s">
        <v>55</v>
      </c>
      <c r="X38" s="35" t="e">
        <f>VLOOKUP(C38,Banorte!F:K,6,FALSE)</f>
        <v>#N/A</v>
      </c>
      <c r="Y38" s="35"/>
      <c r="Z38" s="35" t="e">
        <f>X38-Y38</f>
        <v>#N/A</v>
      </c>
      <c r="AA38" s="37"/>
      <c r="AB38" s="34"/>
      <c r="AC38" s="43"/>
      <c r="AD38" s="44"/>
      <c r="AE38" s="34"/>
      <c r="AF38" s="39"/>
      <c r="AG38" s="40"/>
      <c r="AH38" s="114"/>
      <c r="AI38" s="109">
        <v>46244</v>
      </c>
      <c r="AJ38" s="116"/>
      <c r="AK38" s="41"/>
      <c r="AL38" s="33"/>
      <c r="AM38" s="33"/>
      <c r="AN38" s="42"/>
      <c r="AO38" s="112">
        <v>311</v>
      </c>
      <c r="AP38" s="113">
        <v>46213</v>
      </c>
      <c r="AQ38" s="109">
        <v>46244</v>
      </c>
      <c r="AR38" s="110" t="s">
        <v>445</v>
      </c>
      <c r="AS38" s="110" t="s">
        <v>34</v>
      </c>
    </row>
    <row r="39" spans="1:45" x14ac:dyDescent="0.2">
      <c r="A39" s="60"/>
      <c r="B39" s="33">
        <v>20</v>
      </c>
      <c r="C39" s="33">
        <v>312</v>
      </c>
      <c r="D39" s="33" t="s">
        <v>890</v>
      </c>
      <c r="E39" s="34"/>
      <c r="F39" s="34" t="s">
        <v>283</v>
      </c>
      <c r="G39" s="34" t="s">
        <v>70</v>
      </c>
      <c r="H39" s="34"/>
      <c r="I39" s="34"/>
      <c r="J39" s="34"/>
      <c r="K39" s="34"/>
      <c r="L39" s="34"/>
      <c r="M39" s="34" t="s">
        <v>445</v>
      </c>
      <c r="N39" s="34"/>
      <c r="O39" s="34" t="s">
        <v>11</v>
      </c>
      <c r="P39" s="35">
        <v>209800</v>
      </c>
      <c r="Q39" s="35">
        <f>P39*$U$3</f>
        <v>3881300</v>
      </c>
      <c r="R39" s="35">
        <v>83916</v>
      </c>
      <c r="S39" s="35"/>
      <c r="T39" s="35">
        <f>P39-R39</f>
        <v>125884</v>
      </c>
      <c r="U39" s="35">
        <f>T39*U$3</f>
        <v>2328854</v>
      </c>
      <c r="V39" s="36"/>
      <c r="W39" s="37" t="s">
        <v>55</v>
      </c>
      <c r="X39" s="35" t="e">
        <f>VLOOKUP(C39,Banorte!F:K,6,FALSE)</f>
        <v>#N/A</v>
      </c>
      <c r="Y39" s="35"/>
      <c r="Z39" s="35" t="e">
        <f>X39-Y39</f>
        <v>#N/A</v>
      </c>
      <c r="AA39" s="37"/>
      <c r="AB39" s="34"/>
      <c r="AC39" s="43"/>
      <c r="AD39" s="44"/>
      <c r="AE39" s="34"/>
      <c r="AF39" s="39"/>
      <c r="AG39" s="40"/>
      <c r="AH39" s="114"/>
      <c r="AI39" s="109">
        <v>46244</v>
      </c>
      <c r="AJ39" s="116"/>
      <c r="AK39" s="41"/>
      <c r="AL39" s="33"/>
      <c r="AM39" s="33"/>
      <c r="AN39" s="42"/>
      <c r="AO39" s="108">
        <v>312</v>
      </c>
      <c r="AP39" s="113">
        <v>46213</v>
      </c>
      <c r="AQ39" s="109">
        <v>46244</v>
      </c>
      <c r="AR39" s="110" t="s">
        <v>445</v>
      </c>
      <c r="AS39" s="110"/>
    </row>
    <row r="40" spans="1:45" x14ac:dyDescent="0.2">
      <c r="A40" s="60"/>
      <c r="B40" s="33">
        <v>21</v>
      </c>
      <c r="C40" s="33">
        <v>313</v>
      </c>
      <c r="D40" s="33" t="s">
        <v>890</v>
      </c>
      <c r="E40" s="34"/>
      <c r="F40" s="34" t="s">
        <v>284</v>
      </c>
      <c r="G40" s="34" t="s">
        <v>285</v>
      </c>
      <c r="H40" s="34"/>
      <c r="I40" s="34"/>
      <c r="J40" s="34"/>
      <c r="K40" s="34"/>
      <c r="L40" s="34"/>
      <c r="M40" s="34" t="s">
        <v>445</v>
      </c>
      <c r="N40" s="34"/>
      <c r="O40" s="34" t="s">
        <v>11</v>
      </c>
      <c r="P40" s="35">
        <v>363500</v>
      </c>
      <c r="Q40" s="35">
        <f>P40*$U$3</f>
        <v>6724750</v>
      </c>
      <c r="R40" s="35">
        <v>130920</v>
      </c>
      <c r="S40" s="35"/>
      <c r="T40" s="35">
        <f>P40-R40</f>
        <v>232580</v>
      </c>
      <c r="U40" s="35">
        <f>T40*U$3</f>
        <v>4302730</v>
      </c>
      <c r="V40" s="36"/>
      <c r="W40" s="37" t="s">
        <v>55</v>
      </c>
      <c r="X40" s="35" t="e">
        <f>VLOOKUP(C40,Banorte!F:K,6,FALSE)</f>
        <v>#N/A</v>
      </c>
      <c r="Y40" s="35"/>
      <c r="Z40" s="35" t="e">
        <f>X40-Y40</f>
        <v>#N/A</v>
      </c>
      <c r="AA40" s="38"/>
      <c r="AB40" s="34"/>
      <c r="AC40" s="43"/>
      <c r="AD40" s="44"/>
      <c r="AE40" s="33"/>
      <c r="AF40" s="39"/>
      <c r="AG40" s="40"/>
      <c r="AH40" s="114"/>
      <c r="AI40" s="109">
        <v>46244</v>
      </c>
      <c r="AJ40" s="116"/>
      <c r="AK40" s="41"/>
      <c r="AL40" s="33"/>
      <c r="AM40" s="33"/>
      <c r="AN40" s="42"/>
      <c r="AO40" s="108">
        <v>313</v>
      </c>
      <c r="AP40" s="113">
        <v>46213</v>
      </c>
      <c r="AQ40" s="109">
        <v>46244</v>
      </c>
      <c r="AR40" s="110" t="s">
        <v>445</v>
      </c>
      <c r="AS40" s="110"/>
    </row>
    <row r="41" spans="1:45" x14ac:dyDescent="0.2">
      <c r="A41" s="60"/>
      <c r="B41" s="33">
        <v>22</v>
      </c>
      <c r="C41" s="33">
        <v>314</v>
      </c>
      <c r="D41" s="33" t="s">
        <v>890</v>
      </c>
      <c r="E41" s="34"/>
      <c r="F41" s="34" t="s">
        <v>286</v>
      </c>
      <c r="G41" s="34" t="s">
        <v>287</v>
      </c>
      <c r="H41" s="34"/>
      <c r="I41" s="34"/>
      <c r="J41" s="34"/>
      <c r="K41" s="34"/>
      <c r="L41" s="34"/>
      <c r="M41" s="34" t="s">
        <v>445</v>
      </c>
      <c r="N41" s="34"/>
      <c r="O41" s="34" t="s">
        <v>11</v>
      </c>
      <c r="P41" s="35">
        <v>363500</v>
      </c>
      <c r="Q41" s="35">
        <f>P41*$U$3</f>
        <v>6724750</v>
      </c>
      <c r="R41" s="35">
        <v>362965</v>
      </c>
      <c r="S41" s="35"/>
      <c r="T41" s="35">
        <f>P41-R41</f>
        <v>535</v>
      </c>
      <c r="U41" s="35">
        <f>T41*U$3</f>
        <v>9897.5</v>
      </c>
      <c r="V41" s="36"/>
      <c r="W41" s="37" t="s">
        <v>55</v>
      </c>
      <c r="X41" s="35" t="e">
        <f>VLOOKUP(C41,Banorte!F:K,6,FALSE)</f>
        <v>#N/A</v>
      </c>
      <c r="Y41" s="35"/>
      <c r="Z41" s="35" t="e">
        <f>X41-Y41</f>
        <v>#N/A</v>
      </c>
      <c r="AA41" s="37"/>
      <c r="AB41" s="34"/>
      <c r="AC41" s="43"/>
      <c r="AD41" s="44"/>
      <c r="AE41" s="34"/>
      <c r="AF41" s="39"/>
      <c r="AG41" s="40"/>
      <c r="AH41" s="114"/>
      <c r="AI41" s="109">
        <v>46244</v>
      </c>
      <c r="AJ41" s="116"/>
      <c r="AK41" s="41"/>
      <c r="AL41" s="33"/>
      <c r="AM41" s="33"/>
      <c r="AN41" s="42"/>
      <c r="AO41" s="112">
        <v>314</v>
      </c>
      <c r="AP41" s="113">
        <v>46213</v>
      </c>
      <c r="AQ41" s="109">
        <v>46244</v>
      </c>
      <c r="AR41" s="110" t="s">
        <v>445</v>
      </c>
      <c r="AS41" s="110" t="s">
        <v>34</v>
      </c>
    </row>
    <row r="42" spans="1:45" x14ac:dyDescent="0.2">
      <c r="A42" s="60"/>
      <c r="B42" s="33">
        <v>23</v>
      </c>
      <c r="C42" s="33">
        <v>315</v>
      </c>
      <c r="D42" s="33" t="s">
        <v>890</v>
      </c>
      <c r="E42" s="34"/>
      <c r="F42" s="34" t="s">
        <v>288</v>
      </c>
      <c r="G42" s="34" t="s">
        <v>289</v>
      </c>
      <c r="H42" s="34"/>
      <c r="I42" s="34"/>
      <c r="J42" s="34"/>
      <c r="K42" s="34"/>
      <c r="L42" s="34"/>
      <c r="M42" s="34" t="s">
        <v>445</v>
      </c>
      <c r="N42" s="34"/>
      <c r="O42" s="34" t="s">
        <v>11</v>
      </c>
      <c r="P42" s="35">
        <v>209800</v>
      </c>
      <c r="Q42" s="35">
        <f>P42*$U$3</f>
        <v>3881300</v>
      </c>
      <c r="R42" s="35">
        <v>83916</v>
      </c>
      <c r="S42" s="35"/>
      <c r="T42" s="35">
        <f>P42-R42</f>
        <v>125884</v>
      </c>
      <c r="U42" s="35">
        <f>T42*U$3</f>
        <v>2328854</v>
      </c>
      <c r="V42" s="36"/>
      <c r="W42" s="37" t="s">
        <v>55</v>
      </c>
      <c r="X42" s="35" t="e">
        <f>VLOOKUP(C42,Banorte!F:K,6,FALSE)</f>
        <v>#N/A</v>
      </c>
      <c r="Y42" s="35"/>
      <c r="Z42" s="35" t="e">
        <f>X42-Y42</f>
        <v>#N/A</v>
      </c>
      <c r="AA42" s="38"/>
      <c r="AB42" s="34"/>
      <c r="AC42" s="43"/>
      <c r="AD42" s="44"/>
      <c r="AE42" s="33"/>
      <c r="AF42" s="39"/>
      <c r="AG42" s="40"/>
      <c r="AH42" s="114"/>
      <c r="AI42" s="109">
        <v>46244</v>
      </c>
      <c r="AJ42" s="116"/>
      <c r="AK42" s="41"/>
      <c r="AL42" s="33"/>
      <c r="AM42" s="33"/>
      <c r="AN42" s="42"/>
      <c r="AO42" s="108">
        <v>315</v>
      </c>
      <c r="AP42" s="113">
        <v>46213</v>
      </c>
      <c r="AQ42" s="109">
        <v>46244</v>
      </c>
      <c r="AR42" s="110" t="s">
        <v>445</v>
      </c>
      <c r="AS42" s="110"/>
    </row>
    <row r="43" spans="1:45" x14ac:dyDescent="0.2">
      <c r="A43" s="60"/>
      <c r="B43" s="33">
        <v>24</v>
      </c>
      <c r="C43" s="33">
        <v>316</v>
      </c>
      <c r="D43" s="33" t="s">
        <v>890</v>
      </c>
      <c r="E43" s="34"/>
      <c r="F43" s="34" t="s">
        <v>290</v>
      </c>
      <c r="G43" s="34" t="s">
        <v>291</v>
      </c>
      <c r="H43" s="34"/>
      <c r="I43" s="34"/>
      <c r="J43" s="34"/>
      <c r="K43" s="34"/>
      <c r="L43" s="34"/>
      <c r="M43" s="34" t="s">
        <v>445</v>
      </c>
      <c r="N43" s="34"/>
      <c r="O43" s="34" t="s">
        <v>11</v>
      </c>
      <c r="P43" s="35">
        <v>209800</v>
      </c>
      <c r="Q43" s="35">
        <f>P43*$U$3</f>
        <v>3881300</v>
      </c>
      <c r="R43" s="35">
        <v>83916</v>
      </c>
      <c r="S43" s="35"/>
      <c r="T43" s="35">
        <f>P43-R43</f>
        <v>125884</v>
      </c>
      <c r="U43" s="35">
        <f>T43*U$3</f>
        <v>2328854</v>
      </c>
      <c r="V43" s="36"/>
      <c r="W43" s="37" t="s">
        <v>55</v>
      </c>
      <c r="X43" s="35" t="e">
        <f>VLOOKUP(C43,Banorte!F:K,6,FALSE)</f>
        <v>#N/A</v>
      </c>
      <c r="Y43" s="35"/>
      <c r="Z43" s="35" t="e">
        <f>X43-Y43</f>
        <v>#N/A</v>
      </c>
      <c r="AA43" s="37"/>
      <c r="AB43" s="34"/>
      <c r="AC43" s="43"/>
      <c r="AD43" s="44"/>
      <c r="AE43" s="34"/>
      <c r="AF43" s="39"/>
      <c r="AG43" s="40"/>
      <c r="AH43" s="114"/>
      <c r="AI43" s="109">
        <v>46244</v>
      </c>
      <c r="AJ43" s="116"/>
      <c r="AK43" s="41"/>
      <c r="AL43" s="33"/>
      <c r="AM43" s="33"/>
      <c r="AN43" s="42"/>
      <c r="AO43" s="108">
        <v>316</v>
      </c>
      <c r="AP43" s="113">
        <v>46213</v>
      </c>
      <c r="AQ43" s="109">
        <v>46244</v>
      </c>
      <c r="AR43" s="110" t="s">
        <v>445</v>
      </c>
      <c r="AS43" s="110"/>
    </row>
    <row r="44" spans="1:45" x14ac:dyDescent="0.2">
      <c r="A44" s="60"/>
      <c r="B44" s="33">
        <v>25</v>
      </c>
      <c r="C44" s="33">
        <v>317</v>
      </c>
      <c r="D44" s="33" t="s">
        <v>890</v>
      </c>
      <c r="E44" s="34"/>
      <c r="F44" s="34" t="s">
        <v>292</v>
      </c>
      <c r="G44" s="34" t="s">
        <v>293</v>
      </c>
      <c r="H44" s="34"/>
      <c r="I44" s="34"/>
      <c r="J44" s="34"/>
      <c r="K44" s="34"/>
      <c r="L44" s="34"/>
      <c r="M44" s="34" t="s">
        <v>445</v>
      </c>
      <c r="N44" s="34"/>
      <c r="O44" s="34" t="s">
        <v>11</v>
      </c>
      <c r="P44" s="35">
        <v>209800</v>
      </c>
      <c r="Q44" s="35">
        <f>P44*$U$3</f>
        <v>3881300</v>
      </c>
      <c r="R44" s="35">
        <v>122166</v>
      </c>
      <c r="S44" s="35"/>
      <c r="T44" s="35">
        <f>P44-R44</f>
        <v>87634</v>
      </c>
      <c r="U44" s="35">
        <f>T44*U$3</f>
        <v>1621229</v>
      </c>
      <c r="V44" s="36"/>
      <c r="W44" s="37" t="s">
        <v>55</v>
      </c>
      <c r="X44" s="35" t="e">
        <f>VLOOKUP(C44,Banorte!F:K,6,FALSE)</f>
        <v>#N/A</v>
      </c>
      <c r="Y44" s="35"/>
      <c r="Z44" s="35" t="e">
        <f>X44-Y44</f>
        <v>#N/A</v>
      </c>
      <c r="AA44" s="37"/>
      <c r="AB44" s="34"/>
      <c r="AC44" s="43"/>
      <c r="AD44" s="44"/>
      <c r="AE44" s="34"/>
      <c r="AF44" s="39"/>
      <c r="AG44" s="40"/>
      <c r="AH44" s="114"/>
      <c r="AI44" s="109">
        <v>46244</v>
      </c>
      <c r="AJ44" s="116"/>
      <c r="AK44" s="41"/>
      <c r="AL44" s="33"/>
      <c r="AM44" s="33"/>
      <c r="AN44" s="42"/>
      <c r="AO44" s="108">
        <v>317</v>
      </c>
      <c r="AP44" s="113">
        <v>46213</v>
      </c>
      <c r="AQ44" s="109">
        <v>46244</v>
      </c>
      <c r="AR44" s="110" t="s">
        <v>445</v>
      </c>
      <c r="AS44" s="110"/>
    </row>
    <row r="45" spans="1:45" x14ac:dyDescent="0.2">
      <c r="A45" s="60"/>
      <c r="B45" s="33">
        <v>167</v>
      </c>
      <c r="C45" s="34">
        <v>401</v>
      </c>
      <c r="D45" s="34" t="s">
        <v>891</v>
      </c>
      <c r="E45" s="34"/>
      <c r="F45" s="34" t="s">
        <v>98</v>
      </c>
      <c r="G45" s="34" t="s">
        <v>65</v>
      </c>
      <c r="H45" s="34" t="s">
        <v>97</v>
      </c>
      <c r="I45" s="34"/>
      <c r="J45" s="34"/>
      <c r="K45" s="34"/>
      <c r="L45" s="34"/>
      <c r="M45" s="34" t="s">
        <v>58</v>
      </c>
      <c r="N45" s="34"/>
      <c r="O45" s="34" t="s">
        <v>11</v>
      </c>
      <c r="P45" s="35"/>
      <c r="Q45" s="35">
        <v>7750000</v>
      </c>
      <c r="R45" s="35"/>
      <c r="S45" s="35">
        <v>2325000</v>
      </c>
      <c r="T45" s="35"/>
      <c r="U45" s="35">
        <f>Q45-S45</f>
        <v>5425000</v>
      </c>
      <c r="V45" s="36"/>
      <c r="W45" s="37"/>
      <c r="X45" s="35" t="e">
        <f>VLOOKUP(C45,Banorte!F:K,6,FALSE)</f>
        <v>#N/A</v>
      </c>
      <c r="Y45" s="35"/>
      <c r="Z45" s="35" t="e">
        <f>X45-Y45</f>
        <v>#N/A</v>
      </c>
      <c r="AA45" s="37"/>
      <c r="AB45" s="34"/>
      <c r="AC45" s="43"/>
      <c r="AD45" s="44"/>
      <c r="AE45" s="34"/>
      <c r="AF45" s="39"/>
      <c r="AG45" s="40"/>
      <c r="AH45" s="114"/>
      <c r="AI45" s="109">
        <v>46188</v>
      </c>
      <c r="AJ45" s="116"/>
      <c r="AK45" s="41"/>
      <c r="AL45" s="33"/>
      <c r="AM45" s="33"/>
      <c r="AN45" s="42"/>
      <c r="AO45" s="108">
        <v>401</v>
      </c>
      <c r="AP45" s="113">
        <v>46157</v>
      </c>
      <c r="AQ45" s="109">
        <v>46188</v>
      </c>
      <c r="AR45" s="110" t="s">
        <v>58</v>
      </c>
      <c r="AS45" s="110"/>
    </row>
    <row r="46" spans="1:45" x14ac:dyDescent="0.2">
      <c r="A46" s="60"/>
      <c r="B46" s="33">
        <v>26</v>
      </c>
      <c r="C46" s="33">
        <v>402</v>
      </c>
      <c r="D46" s="33" t="s">
        <v>890</v>
      </c>
      <c r="E46" s="34"/>
      <c r="F46" s="34" t="s">
        <v>294</v>
      </c>
      <c r="G46" s="34" t="s">
        <v>295</v>
      </c>
      <c r="H46" s="34"/>
      <c r="I46" s="34"/>
      <c r="J46" s="34"/>
      <c r="K46" s="34"/>
      <c r="L46" s="34"/>
      <c r="M46" s="34" t="s">
        <v>445</v>
      </c>
      <c r="N46" s="34"/>
      <c r="O46" s="34" t="s">
        <v>11</v>
      </c>
      <c r="P46" s="35">
        <v>216900</v>
      </c>
      <c r="Q46" s="35">
        <f>P46*$U$3</f>
        <v>4012650</v>
      </c>
      <c r="R46" s="35">
        <v>86767</v>
      </c>
      <c r="S46" s="35"/>
      <c r="T46" s="35">
        <f>P46-R46</f>
        <v>130133</v>
      </c>
      <c r="U46" s="35">
        <f>T46*U$3</f>
        <v>2407460.5</v>
      </c>
      <c r="V46" s="36"/>
      <c r="W46" s="37" t="s">
        <v>55</v>
      </c>
      <c r="X46" s="35" t="e">
        <f>VLOOKUP(C46,Banorte!F:K,6,FALSE)</f>
        <v>#N/A</v>
      </c>
      <c r="Y46" s="35"/>
      <c r="Z46" s="35" t="e">
        <f>X46-Y46</f>
        <v>#N/A</v>
      </c>
      <c r="AA46" s="38"/>
      <c r="AB46" s="34"/>
      <c r="AC46" s="43"/>
      <c r="AD46" s="44"/>
      <c r="AE46" s="33"/>
      <c r="AF46" s="39"/>
      <c r="AG46" s="40"/>
      <c r="AH46" s="114"/>
      <c r="AI46" s="109">
        <v>46188</v>
      </c>
      <c r="AJ46" s="116"/>
      <c r="AK46" s="41"/>
      <c r="AL46" s="33"/>
      <c r="AM46" s="33"/>
      <c r="AN46" s="42"/>
      <c r="AO46" s="108">
        <v>402</v>
      </c>
      <c r="AP46" s="113">
        <v>46157</v>
      </c>
      <c r="AQ46" s="109">
        <v>46188</v>
      </c>
      <c r="AR46" s="110" t="s">
        <v>445</v>
      </c>
      <c r="AS46" s="110"/>
    </row>
    <row r="47" spans="1:45" x14ac:dyDescent="0.2">
      <c r="A47" s="60"/>
      <c r="B47" s="33">
        <v>27</v>
      </c>
      <c r="C47" s="33">
        <v>403</v>
      </c>
      <c r="D47" s="33" t="s">
        <v>890</v>
      </c>
      <c r="E47" s="34"/>
      <c r="F47" s="34" t="s">
        <v>71</v>
      </c>
      <c r="G47" s="34" t="s">
        <v>72</v>
      </c>
      <c r="H47" s="34"/>
      <c r="I47" s="34"/>
      <c r="J47" s="34"/>
      <c r="K47" s="34"/>
      <c r="L47" s="34"/>
      <c r="M47" s="34" t="s">
        <v>445</v>
      </c>
      <c r="N47" s="34"/>
      <c r="O47" s="34" t="s">
        <v>11</v>
      </c>
      <c r="P47" s="35">
        <v>216900</v>
      </c>
      <c r="Q47" s="35">
        <f>P47*$U$3</f>
        <v>4012650</v>
      </c>
      <c r="R47" s="35">
        <v>86767</v>
      </c>
      <c r="S47" s="35"/>
      <c r="T47" s="35">
        <f>P47-R47</f>
        <v>130133</v>
      </c>
      <c r="U47" s="35">
        <f>T47*U$3</f>
        <v>2407460.5</v>
      </c>
      <c r="V47" s="36"/>
      <c r="W47" s="37" t="s">
        <v>55</v>
      </c>
      <c r="X47" s="35" t="e">
        <f>VLOOKUP(C47,Banorte!F:K,6,FALSE)</f>
        <v>#N/A</v>
      </c>
      <c r="Y47" s="35"/>
      <c r="Z47" s="35" t="e">
        <f>X47-Y47</f>
        <v>#N/A</v>
      </c>
      <c r="AA47" s="37"/>
      <c r="AB47" s="34"/>
      <c r="AC47" s="43"/>
      <c r="AD47" s="44"/>
      <c r="AE47" s="34"/>
      <c r="AF47" s="39"/>
      <c r="AG47" s="40"/>
      <c r="AH47" s="114"/>
      <c r="AI47" s="109">
        <v>46188</v>
      </c>
      <c r="AJ47" s="116"/>
      <c r="AK47" s="41"/>
      <c r="AL47" s="33"/>
      <c r="AM47" s="33"/>
      <c r="AN47" s="42"/>
      <c r="AO47" s="108">
        <v>403</v>
      </c>
      <c r="AP47" s="113">
        <v>46157</v>
      </c>
      <c r="AQ47" s="109">
        <v>46188</v>
      </c>
      <c r="AR47" s="110" t="s">
        <v>445</v>
      </c>
      <c r="AS47" s="110"/>
    </row>
    <row r="48" spans="1:45" x14ac:dyDescent="0.2">
      <c r="A48" s="60"/>
      <c r="B48" s="33">
        <v>168</v>
      </c>
      <c r="C48" s="34">
        <v>404</v>
      </c>
      <c r="D48" s="34" t="s">
        <v>891</v>
      </c>
      <c r="E48" s="34"/>
      <c r="F48" s="34" t="s">
        <v>607</v>
      </c>
      <c r="G48" s="34" t="s">
        <v>608</v>
      </c>
      <c r="H48" s="34" t="s">
        <v>609</v>
      </c>
      <c r="I48" s="34"/>
      <c r="J48" s="34"/>
      <c r="K48" s="34"/>
      <c r="L48" s="34"/>
      <c r="M48" s="34" t="s">
        <v>58</v>
      </c>
      <c r="N48" s="34"/>
      <c r="O48" s="34" t="s">
        <v>11</v>
      </c>
      <c r="P48" s="35"/>
      <c r="Q48" s="35">
        <v>8202600</v>
      </c>
      <c r="R48" s="35"/>
      <c r="S48" s="35">
        <v>5741820</v>
      </c>
      <c r="T48" s="35"/>
      <c r="U48" s="35">
        <f>Q48-S48</f>
        <v>2460780</v>
      </c>
      <c r="V48" s="36"/>
      <c r="W48" s="37"/>
      <c r="X48" s="35" t="e">
        <f>VLOOKUP(C48,Banorte!F:K,6,FALSE)</f>
        <v>#N/A</v>
      </c>
      <c r="Y48" s="35"/>
      <c r="Z48" s="35" t="e">
        <f>X48-Y48</f>
        <v>#N/A</v>
      </c>
      <c r="AA48" s="37"/>
      <c r="AB48" s="34"/>
      <c r="AC48" s="43"/>
      <c r="AD48" s="44"/>
      <c r="AE48" s="34"/>
      <c r="AF48" s="39"/>
      <c r="AG48" s="40"/>
      <c r="AH48" s="114"/>
      <c r="AI48" s="109">
        <v>46188</v>
      </c>
      <c r="AJ48" s="116"/>
      <c r="AK48" s="41"/>
      <c r="AL48" s="33"/>
      <c r="AM48" s="33"/>
      <c r="AN48" s="42"/>
      <c r="AO48" s="108">
        <v>404</v>
      </c>
      <c r="AP48" s="113">
        <v>46157</v>
      </c>
      <c r="AQ48" s="109">
        <v>46188</v>
      </c>
      <c r="AR48" s="110" t="s">
        <v>58</v>
      </c>
      <c r="AS48" s="110"/>
    </row>
    <row r="49" spans="1:45" x14ac:dyDescent="0.2">
      <c r="A49" s="60"/>
      <c r="B49" s="33">
        <v>28</v>
      </c>
      <c r="C49" s="33">
        <v>405</v>
      </c>
      <c r="D49" s="33" t="s">
        <v>890</v>
      </c>
      <c r="E49" s="34"/>
      <c r="F49" s="34" t="s">
        <v>296</v>
      </c>
      <c r="G49" s="34" t="s">
        <v>297</v>
      </c>
      <c r="H49" s="34"/>
      <c r="I49" s="34"/>
      <c r="J49" s="34"/>
      <c r="K49" s="34"/>
      <c r="L49" s="34"/>
      <c r="M49" s="34" t="s">
        <v>445</v>
      </c>
      <c r="N49" s="34"/>
      <c r="O49" s="34" t="s">
        <v>11</v>
      </c>
      <c r="P49" s="35">
        <v>367000</v>
      </c>
      <c r="Q49" s="35">
        <f>P49*$U$3</f>
        <v>6789500</v>
      </c>
      <c r="R49" s="35">
        <v>131620</v>
      </c>
      <c r="S49" s="35"/>
      <c r="T49" s="35">
        <f>P49-R49</f>
        <v>235380</v>
      </c>
      <c r="U49" s="35">
        <f>T49*U$3</f>
        <v>4354530</v>
      </c>
      <c r="V49" s="36"/>
      <c r="W49" s="37" t="s">
        <v>55</v>
      </c>
      <c r="X49" s="35" t="e">
        <f>VLOOKUP(C49,Banorte!F:K,6,FALSE)</f>
        <v>#N/A</v>
      </c>
      <c r="Y49" s="35"/>
      <c r="Z49" s="35" t="e">
        <f>X49-Y49</f>
        <v>#N/A</v>
      </c>
      <c r="AA49" s="37"/>
      <c r="AB49" s="34"/>
      <c r="AC49" s="43"/>
      <c r="AD49" s="44"/>
      <c r="AE49" s="34"/>
      <c r="AF49" s="39"/>
      <c r="AG49" s="40"/>
      <c r="AH49" s="114"/>
      <c r="AI49" s="109">
        <v>46188</v>
      </c>
      <c r="AJ49" s="116"/>
      <c r="AK49" s="41"/>
      <c r="AL49" s="33"/>
      <c r="AM49" s="33"/>
      <c r="AN49" s="42"/>
      <c r="AO49" s="108">
        <v>405</v>
      </c>
      <c r="AP49" s="113">
        <v>46157</v>
      </c>
      <c r="AQ49" s="109">
        <v>46188</v>
      </c>
      <c r="AR49" s="110" t="s">
        <v>445</v>
      </c>
      <c r="AS49" s="110"/>
    </row>
    <row r="50" spans="1:45" x14ac:dyDescent="0.2">
      <c r="A50" s="60"/>
      <c r="B50" s="33">
        <v>29</v>
      </c>
      <c r="C50" s="33">
        <v>406</v>
      </c>
      <c r="D50" s="33" t="s">
        <v>890</v>
      </c>
      <c r="E50" s="34"/>
      <c r="F50" s="34" t="s">
        <v>298</v>
      </c>
      <c r="G50" s="34" t="s">
        <v>299</v>
      </c>
      <c r="H50" s="34"/>
      <c r="I50" s="34"/>
      <c r="J50" s="34"/>
      <c r="K50" s="34"/>
      <c r="L50" s="34"/>
      <c r="M50" s="34" t="s">
        <v>53</v>
      </c>
      <c r="N50" s="34"/>
      <c r="O50" s="34" t="s">
        <v>11</v>
      </c>
      <c r="P50" s="35">
        <v>216900</v>
      </c>
      <c r="Q50" s="35">
        <f>P50*$U$3</f>
        <v>4012650</v>
      </c>
      <c r="R50" s="35">
        <v>86767</v>
      </c>
      <c r="S50" s="35"/>
      <c r="T50" s="35">
        <f>P50-R50</f>
        <v>130133</v>
      </c>
      <c r="U50" s="35">
        <f>T50*U$3</f>
        <v>2407460.5</v>
      </c>
      <c r="V50" s="36"/>
      <c r="W50" s="37"/>
      <c r="X50" s="35" t="e">
        <f>VLOOKUP(C50,Banorte!F:K,6,FALSE)</f>
        <v>#N/A</v>
      </c>
      <c r="Y50" s="35"/>
      <c r="Z50" s="35" t="e">
        <f>X50-Y50</f>
        <v>#N/A</v>
      </c>
      <c r="AA50" s="38"/>
      <c r="AB50" s="34"/>
      <c r="AC50" s="43"/>
      <c r="AD50" s="44"/>
      <c r="AE50" s="33"/>
      <c r="AF50" s="39"/>
      <c r="AG50" s="40"/>
      <c r="AH50" s="114"/>
      <c r="AI50" s="109">
        <v>46188</v>
      </c>
      <c r="AJ50" s="116"/>
      <c r="AK50" s="41"/>
      <c r="AL50" s="33"/>
      <c r="AM50" s="33"/>
      <c r="AN50" s="42"/>
      <c r="AO50" s="108">
        <v>406</v>
      </c>
      <c r="AP50" s="113">
        <v>46157</v>
      </c>
      <c r="AQ50" s="109">
        <v>46188</v>
      </c>
      <c r="AR50" s="110" t="s">
        <v>53</v>
      </c>
      <c r="AS50" s="110"/>
    </row>
    <row r="51" spans="1:45" x14ac:dyDescent="0.2">
      <c r="A51" s="60"/>
      <c r="B51" s="33">
        <v>30</v>
      </c>
      <c r="C51" s="33">
        <v>407</v>
      </c>
      <c r="D51" s="33" t="s">
        <v>890</v>
      </c>
      <c r="E51" s="34"/>
      <c r="F51" s="34" t="s">
        <v>300</v>
      </c>
      <c r="G51" s="34" t="s">
        <v>301</v>
      </c>
      <c r="H51" s="34"/>
      <c r="I51" s="34"/>
      <c r="J51" s="34"/>
      <c r="K51" s="34"/>
      <c r="L51" s="34"/>
      <c r="M51" s="34" t="s">
        <v>445</v>
      </c>
      <c r="N51" s="34"/>
      <c r="O51" s="34" t="s">
        <v>11</v>
      </c>
      <c r="P51" s="35">
        <v>216900</v>
      </c>
      <c r="Q51" s="35">
        <f>P51*$U$3</f>
        <v>4012650</v>
      </c>
      <c r="R51" s="35">
        <v>86767</v>
      </c>
      <c r="S51" s="35"/>
      <c r="T51" s="35">
        <f>P51-R51</f>
        <v>130133</v>
      </c>
      <c r="U51" s="35">
        <f>T51*U$3</f>
        <v>2407460.5</v>
      </c>
      <c r="V51" s="36"/>
      <c r="W51" s="37" t="s">
        <v>55</v>
      </c>
      <c r="X51" s="35" t="e">
        <f>VLOOKUP(C51,Banorte!F:K,6,FALSE)</f>
        <v>#N/A</v>
      </c>
      <c r="Y51" s="35"/>
      <c r="Z51" s="35" t="e">
        <f>X51-Y51</f>
        <v>#N/A</v>
      </c>
      <c r="AA51" s="37"/>
      <c r="AB51" s="34"/>
      <c r="AC51" s="43"/>
      <c r="AD51" s="44"/>
      <c r="AE51" s="34"/>
      <c r="AF51" s="39"/>
      <c r="AG51" s="40"/>
      <c r="AH51" s="114"/>
      <c r="AI51" s="109">
        <v>46188</v>
      </c>
      <c r="AJ51" s="116"/>
      <c r="AK51" s="41"/>
      <c r="AL51" s="33"/>
      <c r="AM51" s="33"/>
      <c r="AN51" s="42"/>
      <c r="AO51" s="108">
        <v>407</v>
      </c>
      <c r="AP51" s="113">
        <v>46157</v>
      </c>
      <c r="AQ51" s="109">
        <v>46188</v>
      </c>
      <c r="AR51" s="110" t="s">
        <v>445</v>
      </c>
      <c r="AS51" s="110"/>
    </row>
    <row r="52" spans="1:45" x14ac:dyDescent="0.2">
      <c r="A52" s="60"/>
      <c r="B52" s="33">
        <v>31</v>
      </c>
      <c r="C52" s="33">
        <v>408</v>
      </c>
      <c r="D52" s="33" t="s">
        <v>890</v>
      </c>
      <c r="E52" s="34"/>
      <c r="F52" s="34" t="s">
        <v>74</v>
      </c>
      <c r="G52" s="34" t="s">
        <v>302</v>
      </c>
      <c r="H52" s="34"/>
      <c r="I52" s="34"/>
      <c r="J52" s="34"/>
      <c r="K52" s="34"/>
      <c r="L52" s="34"/>
      <c r="M52" s="34" t="s">
        <v>445</v>
      </c>
      <c r="N52" s="34"/>
      <c r="O52" s="34" t="s">
        <v>11</v>
      </c>
      <c r="P52" s="35">
        <v>216900</v>
      </c>
      <c r="Q52" s="35">
        <f>P52*$U$3</f>
        <v>4012650</v>
      </c>
      <c r="R52" s="35">
        <v>86767</v>
      </c>
      <c r="S52" s="35"/>
      <c r="T52" s="35">
        <f>P52-R52</f>
        <v>130133</v>
      </c>
      <c r="U52" s="35">
        <f>T52*U$3</f>
        <v>2407460.5</v>
      </c>
      <c r="V52" s="36"/>
      <c r="W52" s="37" t="s">
        <v>55</v>
      </c>
      <c r="X52" s="35" t="e">
        <f>VLOOKUP(C52,Banorte!F:K,6,FALSE)</f>
        <v>#N/A</v>
      </c>
      <c r="Y52" s="35"/>
      <c r="Z52" s="35" t="e">
        <f>X52-Y52</f>
        <v>#N/A</v>
      </c>
      <c r="AA52" s="37"/>
      <c r="AB52" s="34"/>
      <c r="AC52" s="43"/>
      <c r="AD52" s="44"/>
      <c r="AE52" s="34"/>
      <c r="AF52" s="39"/>
      <c r="AG52" s="40"/>
      <c r="AH52" s="114"/>
      <c r="AI52" s="109">
        <v>46188</v>
      </c>
      <c r="AJ52" s="116"/>
      <c r="AK52" s="41"/>
      <c r="AL52" s="33"/>
      <c r="AM52" s="33"/>
      <c r="AN52" s="42"/>
      <c r="AO52" s="108">
        <v>408</v>
      </c>
      <c r="AP52" s="113">
        <v>46157</v>
      </c>
      <c r="AQ52" s="109">
        <v>46188</v>
      </c>
      <c r="AR52" s="110" t="s">
        <v>445</v>
      </c>
      <c r="AS52" s="110"/>
    </row>
    <row r="53" spans="1:45" x14ac:dyDescent="0.2">
      <c r="A53" s="60"/>
      <c r="B53" s="33">
        <v>169</v>
      </c>
      <c r="C53" s="34">
        <v>409</v>
      </c>
      <c r="D53" s="34" t="s">
        <v>891</v>
      </c>
      <c r="E53" s="34"/>
      <c r="F53" s="34" t="s">
        <v>610</v>
      </c>
      <c r="G53" s="34" t="s">
        <v>611</v>
      </c>
      <c r="H53" s="34"/>
      <c r="I53" s="34"/>
      <c r="J53" s="34"/>
      <c r="K53" s="34"/>
      <c r="L53" s="34"/>
      <c r="M53" s="34" t="s">
        <v>58</v>
      </c>
      <c r="N53" s="34"/>
      <c r="O53" s="34" t="s">
        <v>11</v>
      </c>
      <c r="P53" s="35"/>
      <c r="Q53" s="35">
        <v>7727775</v>
      </c>
      <c r="R53" s="35"/>
      <c r="S53" s="35">
        <v>6255874.3499999996</v>
      </c>
      <c r="T53" s="35"/>
      <c r="U53" s="35">
        <f>Q53-S53</f>
        <v>1471900.6500000004</v>
      </c>
      <c r="V53" s="36"/>
      <c r="W53" s="37"/>
      <c r="X53" s="35" t="e">
        <f>VLOOKUP(C53,Banorte!F:K,6,FALSE)</f>
        <v>#N/A</v>
      </c>
      <c r="Y53" s="35"/>
      <c r="Z53" s="35" t="e">
        <f>X53-Y53</f>
        <v>#N/A</v>
      </c>
      <c r="AA53" s="38"/>
      <c r="AB53" s="34"/>
      <c r="AC53" s="43"/>
      <c r="AD53" s="44"/>
      <c r="AE53" s="33"/>
      <c r="AF53" s="39"/>
      <c r="AG53" s="40"/>
      <c r="AH53" s="114"/>
      <c r="AI53" s="109">
        <v>46188</v>
      </c>
      <c r="AJ53" s="116"/>
      <c r="AK53" s="41"/>
      <c r="AL53" s="33"/>
      <c r="AM53" s="33"/>
      <c r="AN53" s="42"/>
      <c r="AO53" s="108">
        <v>409</v>
      </c>
      <c r="AP53" s="113">
        <v>46157</v>
      </c>
      <c r="AQ53" s="109">
        <v>46188</v>
      </c>
      <c r="AR53" s="110" t="s">
        <v>58</v>
      </c>
      <c r="AS53" s="110"/>
    </row>
    <row r="54" spans="1:45" x14ac:dyDescent="0.2">
      <c r="A54" s="60"/>
      <c r="B54" s="33">
        <v>32</v>
      </c>
      <c r="C54" s="33">
        <v>410</v>
      </c>
      <c r="D54" s="33" t="s">
        <v>890</v>
      </c>
      <c r="E54" s="34"/>
      <c r="F54" s="34" t="s">
        <v>303</v>
      </c>
      <c r="G54" s="34" t="s">
        <v>304</v>
      </c>
      <c r="H54" s="34"/>
      <c r="I54" s="34"/>
      <c r="J54" s="34"/>
      <c r="K54" s="34"/>
      <c r="L54" s="34"/>
      <c r="M54" s="34" t="s">
        <v>53</v>
      </c>
      <c r="N54" s="34"/>
      <c r="O54" s="34" t="s">
        <v>11</v>
      </c>
      <c r="P54" s="35">
        <v>216900</v>
      </c>
      <c r="Q54" s="35">
        <f>P54*$U$3</f>
        <v>4012650</v>
      </c>
      <c r="R54" s="35">
        <v>86767</v>
      </c>
      <c r="S54" s="35"/>
      <c r="T54" s="35">
        <f>P54-R54</f>
        <v>130133</v>
      </c>
      <c r="U54" s="35">
        <f>T54*U$3</f>
        <v>2407460.5</v>
      </c>
      <c r="V54" s="36"/>
      <c r="W54" s="37"/>
      <c r="X54" s="35" t="e">
        <f>VLOOKUP(C54,Banorte!F:K,6,FALSE)</f>
        <v>#N/A</v>
      </c>
      <c r="Y54" s="35"/>
      <c r="Z54" s="35" t="e">
        <f>X54-Y54</f>
        <v>#N/A</v>
      </c>
      <c r="AA54" s="38"/>
      <c r="AB54" s="34"/>
      <c r="AC54" s="43"/>
      <c r="AD54" s="44"/>
      <c r="AE54" s="33"/>
      <c r="AF54" s="39"/>
      <c r="AG54" s="40"/>
      <c r="AH54" s="114"/>
      <c r="AI54" s="109">
        <v>46188</v>
      </c>
      <c r="AJ54" s="116"/>
      <c r="AK54" s="41"/>
      <c r="AL54" s="33"/>
      <c r="AM54" s="33"/>
      <c r="AN54" s="42"/>
      <c r="AO54" s="108">
        <v>410</v>
      </c>
      <c r="AP54" s="113">
        <v>46157</v>
      </c>
      <c r="AQ54" s="109">
        <v>46188</v>
      </c>
      <c r="AR54" s="110" t="s">
        <v>53</v>
      </c>
      <c r="AS54" s="110"/>
    </row>
    <row r="55" spans="1:45" x14ac:dyDescent="0.2">
      <c r="A55" s="60"/>
      <c r="B55" s="33">
        <v>33</v>
      </c>
      <c r="C55" s="33">
        <v>411</v>
      </c>
      <c r="D55" s="33" t="s">
        <v>890</v>
      </c>
      <c r="E55" s="34"/>
      <c r="F55" s="34" t="s">
        <v>261</v>
      </c>
      <c r="G55" s="34" t="s">
        <v>305</v>
      </c>
      <c r="H55" s="34"/>
      <c r="I55" s="34"/>
      <c r="J55" s="34"/>
      <c r="K55" s="34"/>
      <c r="L55" s="34"/>
      <c r="M55" s="34" t="s">
        <v>445</v>
      </c>
      <c r="N55" s="34"/>
      <c r="O55" s="34" t="s">
        <v>11</v>
      </c>
      <c r="P55" s="35">
        <v>216900</v>
      </c>
      <c r="Q55" s="35">
        <f>P55*$U$3</f>
        <v>4012650</v>
      </c>
      <c r="R55" s="35">
        <v>86757</v>
      </c>
      <c r="S55" s="35"/>
      <c r="T55" s="35">
        <f>P55-R55</f>
        <v>130143</v>
      </c>
      <c r="U55" s="35">
        <f>T55*U$3</f>
        <v>2407645.5</v>
      </c>
      <c r="V55" s="36"/>
      <c r="W55" s="37" t="s">
        <v>55</v>
      </c>
      <c r="X55" s="35" t="e">
        <f>VLOOKUP(C55,Banorte!F:K,6,FALSE)</f>
        <v>#N/A</v>
      </c>
      <c r="Y55" s="35"/>
      <c r="Z55" s="35" t="e">
        <f>X55-Y55</f>
        <v>#N/A</v>
      </c>
      <c r="AA55" s="37"/>
      <c r="AB55" s="34"/>
      <c r="AC55" s="43"/>
      <c r="AD55" s="44"/>
      <c r="AE55" s="34"/>
      <c r="AF55" s="39"/>
      <c r="AG55" s="40"/>
      <c r="AH55" s="114"/>
      <c r="AI55" s="109">
        <v>46188</v>
      </c>
      <c r="AJ55" s="116"/>
      <c r="AK55" s="41"/>
      <c r="AL55" s="33"/>
      <c r="AM55" s="33"/>
      <c r="AN55" s="42"/>
      <c r="AO55" s="108">
        <v>411</v>
      </c>
      <c r="AP55" s="113">
        <v>46157</v>
      </c>
      <c r="AQ55" s="109">
        <v>46188</v>
      </c>
      <c r="AR55" s="110" t="s">
        <v>445</v>
      </c>
      <c r="AS55" s="110"/>
    </row>
    <row r="56" spans="1:45" x14ac:dyDescent="0.2">
      <c r="A56" s="60"/>
      <c r="B56" s="33">
        <v>34</v>
      </c>
      <c r="C56" s="33">
        <v>412</v>
      </c>
      <c r="D56" s="33" t="s">
        <v>890</v>
      </c>
      <c r="E56" s="34"/>
      <c r="F56" s="34" t="s">
        <v>84</v>
      </c>
      <c r="G56" s="34" t="s">
        <v>306</v>
      </c>
      <c r="H56" s="34"/>
      <c r="I56" s="34"/>
      <c r="J56" s="34"/>
      <c r="K56" s="34"/>
      <c r="L56" s="34"/>
      <c r="M56" s="34" t="s">
        <v>53</v>
      </c>
      <c r="N56" s="34"/>
      <c r="O56" s="34" t="s">
        <v>11</v>
      </c>
      <c r="P56" s="35">
        <v>216900</v>
      </c>
      <c r="Q56" s="35">
        <f>P56*$U$3</f>
        <v>4012650</v>
      </c>
      <c r="R56" s="35">
        <v>86767</v>
      </c>
      <c r="S56" s="35"/>
      <c r="T56" s="35">
        <f>P56-R56</f>
        <v>130133</v>
      </c>
      <c r="U56" s="35">
        <f>T56*U$3</f>
        <v>2407460.5</v>
      </c>
      <c r="V56" s="36"/>
      <c r="W56" s="37"/>
      <c r="X56" s="35" t="e">
        <f>VLOOKUP(C56,Banorte!F:K,6,FALSE)</f>
        <v>#N/A</v>
      </c>
      <c r="Y56" s="35"/>
      <c r="Z56" s="35" t="e">
        <f>X56-Y56</f>
        <v>#N/A</v>
      </c>
      <c r="AA56" s="38"/>
      <c r="AB56" s="34"/>
      <c r="AC56" s="43"/>
      <c r="AD56" s="44"/>
      <c r="AE56" s="33"/>
      <c r="AF56" s="39"/>
      <c r="AG56" s="40"/>
      <c r="AH56" s="114"/>
      <c r="AI56" s="109">
        <v>46188</v>
      </c>
      <c r="AJ56" s="116"/>
      <c r="AK56" s="41"/>
      <c r="AL56" s="33"/>
      <c r="AM56" s="33"/>
      <c r="AN56" s="42"/>
      <c r="AO56" s="108">
        <v>412</v>
      </c>
      <c r="AP56" s="113">
        <v>46157</v>
      </c>
      <c r="AQ56" s="109">
        <v>46188</v>
      </c>
      <c r="AR56" s="110" t="s">
        <v>53</v>
      </c>
      <c r="AS56" s="110"/>
    </row>
    <row r="57" spans="1:45" x14ac:dyDescent="0.2">
      <c r="A57" s="60"/>
      <c r="B57" s="33">
        <v>170</v>
      </c>
      <c r="C57" s="34">
        <v>413</v>
      </c>
      <c r="D57" s="34" t="s">
        <v>891</v>
      </c>
      <c r="E57" s="34"/>
      <c r="F57" s="34" t="s">
        <v>612</v>
      </c>
      <c r="G57" s="34" t="s">
        <v>613</v>
      </c>
      <c r="H57" s="34"/>
      <c r="I57" s="34"/>
      <c r="J57" s="34"/>
      <c r="K57" s="34"/>
      <c r="L57" s="34"/>
      <c r="M57" s="34" t="s">
        <v>58</v>
      </c>
      <c r="N57" s="34"/>
      <c r="O57" s="34" t="s">
        <v>11</v>
      </c>
      <c r="P57" s="35"/>
      <c r="Q57" s="35">
        <v>12350000</v>
      </c>
      <c r="R57" s="35"/>
      <c r="S57" s="35">
        <v>9973320.7599999998</v>
      </c>
      <c r="T57" s="35"/>
      <c r="U57" s="35">
        <f>Q57-S57</f>
        <v>2376679.2400000002</v>
      </c>
      <c r="V57" s="36"/>
      <c r="W57" s="37"/>
      <c r="X57" s="35" t="e">
        <f>VLOOKUP(C57,Banorte!F:K,6,FALSE)</f>
        <v>#N/A</v>
      </c>
      <c r="Y57" s="35"/>
      <c r="Z57" s="35" t="e">
        <f>X57-Y57</f>
        <v>#N/A</v>
      </c>
      <c r="AA57" s="37"/>
      <c r="AB57" s="34"/>
      <c r="AC57" s="43"/>
      <c r="AD57" s="44"/>
      <c r="AE57" s="34"/>
      <c r="AF57" s="39"/>
      <c r="AG57" s="40"/>
      <c r="AH57" s="114"/>
      <c r="AI57" s="109">
        <v>46188</v>
      </c>
      <c r="AJ57" s="116"/>
      <c r="AK57" s="41"/>
      <c r="AL57" s="33"/>
      <c r="AM57" s="33"/>
      <c r="AN57" s="42"/>
      <c r="AO57" s="108">
        <v>413</v>
      </c>
      <c r="AP57" s="113">
        <v>46157</v>
      </c>
      <c r="AQ57" s="109">
        <v>46188</v>
      </c>
      <c r="AR57" s="110" t="s">
        <v>58</v>
      </c>
      <c r="AS57" s="110"/>
    </row>
    <row r="58" spans="1:45" x14ac:dyDescent="0.2">
      <c r="A58" s="60"/>
      <c r="B58" s="33">
        <v>35</v>
      </c>
      <c r="C58" s="33">
        <v>414</v>
      </c>
      <c r="D58" s="33" t="s">
        <v>890</v>
      </c>
      <c r="E58" s="34"/>
      <c r="F58" s="34" t="s">
        <v>307</v>
      </c>
      <c r="G58" s="34" t="s">
        <v>248</v>
      </c>
      <c r="H58" s="34"/>
      <c r="I58" s="34"/>
      <c r="J58" s="34"/>
      <c r="K58" s="34"/>
      <c r="L58" s="34"/>
      <c r="M58" s="34" t="s">
        <v>445</v>
      </c>
      <c r="N58" s="34"/>
      <c r="O58" s="34" t="s">
        <v>11</v>
      </c>
      <c r="P58" s="35">
        <v>367000</v>
      </c>
      <c r="Q58" s="35">
        <f>P58*$U$3</f>
        <v>6789500</v>
      </c>
      <c r="R58" s="35">
        <v>131620</v>
      </c>
      <c r="S58" s="35"/>
      <c r="T58" s="35">
        <f>P58-R58</f>
        <v>235380</v>
      </c>
      <c r="U58" s="35">
        <f>T58*U$3</f>
        <v>4354530</v>
      </c>
      <c r="V58" s="36"/>
      <c r="W58" s="37" t="s">
        <v>55</v>
      </c>
      <c r="X58" s="35" t="e">
        <f>VLOOKUP(C58,Banorte!F:K,6,FALSE)</f>
        <v>#N/A</v>
      </c>
      <c r="Y58" s="35"/>
      <c r="Z58" s="35" t="e">
        <f>X58-Y58</f>
        <v>#N/A</v>
      </c>
      <c r="AA58" s="37"/>
      <c r="AB58" s="34"/>
      <c r="AC58" s="43"/>
      <c r="AD58" s="44"/>
      <c r="AE58" s="34"/>
      <c r="AF58" s="39"/>
      <c r="AG58" s="40"/>
      <c r="AH58" s="114"/>
      <c r="AI58" s="109">
        <v>46188</v>
      </c>
      <c r="AJ58" s="116"/>
      <c r="AK58" s="41"/>
      <c r="AL58" s="33"/>
      <c r="AM58" s="33"/>
      <c r="AN58" s="42"/>
      <c r="AO58" s="108">
        <v>414</v>
      </c>
      <c r="AP58" s="113">
        <v>46157</v>
      </c>
      <c r="AQ58" s="109">
        <v>46188</v>
      </c>
      <c r="AR58" s="110" t="s">
        <v>445</v>
      </c>
      <c r="AS58" s="110"/>
    </row>
    <row r="59" spans="1:45" x14ac:dyDescent="0.2">
      <c r="A59" s="60"/>
      <c r="B59" s="33">
        <v>36</v>
      </c>
      <c r="C59" s="33">
        <v>415</v>
      </c>
      <c r="D59" s="33" t="s">
        <v>890</v>
      </c>
      <c r="E59" s="34"/>
      <c r="F59" s="34" t="s">
        <v>308</v>
      </c>
      <c r="G59" s="34" t="s">
        <v>309</v>
      </c>
      <c r="H59" s="34"/>
      <c r="I59" s="34"/>
      <c r="J59" s="34"/>
      <c r="K59" s="34"/>
      <c r="L59" s="34"/>
      <c r="M59" s="34" t="s">
        <v>53</v>
      </c>
      <c r="N59" s="34"/>
      <c r="O59" s="34" t="s">
        <v>11</v>
      </c>
      <c r="P59" s="35">
        <v>216900</v>
      </c>
      <c r="Q59" s="35">
        <f>P59*$U$3</f>
        <v>4012650</v>
      </c>
      <c r="R59" s="35">
        <v>110489</v>
      </c>
      <c r="S59" s="35"/>
      <c r="T59" s="35">
        <f>P59-R59</f>
        <v>106411</v>
      </c>
      <c r="U59" s="35">
        <f>T59*U$3</f>
        <v>1968603.5</v>
      </c>
      <c r="V59" s="36"/>
      <c r="W59" s="37"/>
      <c r="X59" s="35" t="e">
        <f>VLOOKUP(C59,Banorte!F:K,6,FALSE)</f>
        <v>#N/A</v>
      </c>
      <c r="Y59" s="35"/>
      <c r="Z59" s="35" t="e">
        <f>X59-Y59</f>
        <v>#N/A</v>
      </c>
      <c r="AA59" s="37"/>
      <c r="AB59" s="34"/>
      <c r="AC59" s="43"/>
      <c r="AD59" s="44"/>
      <c r="AE59" s="34"/>
      <c r="AF59" s="39"/>
      <c r="AG59" s="40"/>
      <c r="AH59" s="114"/>
      <c r="AI59" s="109">
        <v>46188</v>
      </c>
      <c r="AJ59" s="116"/>
      <c r="AK59" s="41"/>
      <c r="AL59" s="33"/>
      <c r="AM59" s="33"/>
      <c r="AN59" s="42"/>
      <c r="AO59" s="108">
        <v>415</v>
      </c>
      <c r="AP59" s="113">
        <v>46157</v>
      </c>
      <c r="AQ59" s="109">
        <v>46188</v>
      </c>
      <c r="AR59" s="110" t="s">
        <v>53</v>
      </c>
      <c r="AS59" s="110"/>
    </row>
    <row r="60" spans="1:45" x14ac:dyDescent="0.2">
      <c r="A60" s="60"/>
      <c r="B60" s="33">
        <v>37</v>
      </c>
      <c r="C60" s="33">
        <v>416</v>
      </c>
      <c r="D60" s="33" t="s">
        <v>890</v>
      </c>
      <c r="E60" s="34"/>
      <c r="F60" s="34" t="s">
        <v>310</v>
      </c>
      <c r="G60" s="34" t="s">
        <v>311</v>
      </c>
      <c r="H60" s="34"/>
      <c r="I60" s="34"/>
      <c r="J60" s="34"/>
      <c r="K60" s="34"/>
      <c r="L60" s="34"/>
      <c r="M60" s="34" t="s">
        <v>445</v>
      </c>
      <c r="N60" s="34"/>
      <c r="O60" s="34" t="s">
        <v>11</v>
      </c>
      <c r="P60" s="35">
        <v>216900</v>
      </c>
      <c r="Q60" s="35">
        <f>P60*$U$3</f>
        <v>4012650</v>
      </c>
      <c r="R60" s="35">
        <v>86767</v>
      </c>
      <c r="S60" s="35"/>
      <c r="T60" s="35">
        <f>P60-R60</f>
        <v>130133</v>
      </c>
      <c r="U60" s="35">
        <f>T60*U$3</f>
        <v>2407460.5</v>
      </c>
      <c r="V60" s="36"/>
      <c r="W60" s="37" t="s">
        <v>55</v>
      </c>
      <c r="X60" s="35" t="e">
        <f>VLOOKUP(C60,Banorte!F:K,6,FALSE)</f>
        <v>#N/A</v>
      </c>
      <c r="Y60" s="35"/>
      <c r="Z60" s="35" t="e">
        <f>X60-Y60</f>
        <v>#N/A</v>
      </c>
      <c r="AA60" s="38"/>
      <c r="AB60" s="34"/>
      <c r="AC60" s="43"/>
      <c r="AD60" s="44"/>
      <c r="AE60" s="33"/>
      <c r="AF60" s="39"/>
      <c r="AG60" s="40"/>
      <c r="AH60" s="114"/>
      <c r="AI60" s="109">
        <v>46188</v>
      </c>
      <c r="AJ60" s="116"/>
      <c r="AK60" s="41"/>
      <c r="AL60" s="33"/>
      <c r="AM60" s="33"/>
      <c r="AN60" s="42"/>
      <c r="AO60" s="108">
        <v>416</v>
      </c>
      <c r="AP60" s="113">
        <v>46157</v>
      </c>
      <c r="AQ60" s="109">
        <v>46188</v>
      </c>
      <c r="AR60" s="110" t="s">
        <v>445</v>
      </c>
      <c r="AS60" s="110"/>
    </row>
    <row r="61" spans="1:45" x14ac:dyDescent="0.2">
      <c r="A61" s="60"/>
      <c r="B61" s="33">
        <v>38</v>
      </c>
      <c r="C61" s="33">
        <v>417</v>
      </c>
      <c r="D61" s="33" t="s">
        <v>890</v>
      </c>
      <c r="E61" s="34"/>
      <c r="F61" s="34" t="s">
        <v>312</v>
      </c>
      <c r="G61" s="34" t="s">
        <v>313</v>
      </c>
      <c r="H61" s="34"/>
      <c r="I61" s="34"/>
      <c r="J61" s="34"/>
      <c r="K61" s="34"/>
      <c r="L61" s="34"/>
      <c r="M61" s="34" t="s">
        <v>445</v>
      </c>
      <c r="N61" s="34"/>
      <c r="O61" s="34" t="s">
        <v>11</v>
      </c>
      <c r="P61" s="35">
        <v>216900</v>
      </c>
      <c r="Q61" s="35">
        <f>P61*$U$3</f>
        <v>4012650</v>
      </c>
      <c r="R61" s="35">
        <v>108449</v>
      </c>
      <c r="S61" s="35"/>
      <c r="T61" s="35">
        <f>P61-R61</f>
        <v>108451</v>
      </c>
      <c r="U61" s="35">
        <f>T61*U$3</f>
        <v>2006343.5</v>
      </c>
      <c r="V61" s="36"/>
      <c r="W61" s="37" t="s">
        <v>55</v>
      </c>
      <c r="X61" s="35" t="e">
        <f>VLOOKUP(C61,Banorte!F:K,6,FALSE)</f>
        <v>#N/A</v>
      </c>
      <c r="Y61" s="35"/>
      <c r="Z61" s="35" t="e">
        <f>X61-Y61</f>
        <v>#N/A</v>
      </c>
      <c r="AA61" s="37"/>
      <c r="AB61" s="34"/>
      <c r="AC61" s="43"/>
      <c r="AD61" s="44"/>
      <c r="AE61" s="34"/>
      <c r="AF61" s="39"/>
      <c r="AG61" s="40"/>
      <c r="AH61" s="114"/>
      <c r="AI61" s="109">
        <v>46188</v>
      </c>
      <c r="AJ61" s="116"/>
      <c r="AK61" s="41"/>
      <c r="AL61" s="33"/>
      <c r="AM61" s="33"/>
      <c r="AN61" s="42"/>
      <c r="AO61" s="108">
        <v>417</v>
      </c>
      <c r="AP61" s="113">
        <v>46157</v>
      </c>
      <c r="AQ61" s="109">
        <v>46188</v>
      </c>
      <c r="AR61" s="110" t="s">
        <v>445</v>
      </c>
      <c r="AS61" s="110"/>
    </row>
    <row r="62" spans="1:45" x14ac:dyDescent="0.2">
      <c r="A62" s="60"/>
      <c r="B62" s="33">
        <v>39</v>
      </c>
      <c r="C62" s="33">
        <v>501</v>
      </c>
      <c r="D62" s="33" t="s">
        <v>890</v>
      </c>
      <c r="E62" s="34"/>
      <c r="F62" s="34" t="s">
        <v>314</v>
      </c>
      <c r="G62" s="34" t="s">
        <v>315</v>
      </c>
      <c r="H62" s="34"/>
      <c r="I62" s="34"/>
      <c r="J62" s="34"/>
      <c r="K62" s="34"/>
      <c r="L62" s="34"/>
      <c r="M62" s="34" t="s">
        <v>53</v>
      </c>
      <c r="N62" s="34"/>
      <c r="O62" s="34" t="s">
        <v>11</v>
      </c>
      <c r="P62" s="35">
        <v>216900</v>
      </c>
      <c r="Q62" s="35">
        <f>P62*$U$3</f>
        <v>4012650</v>
      </c>
      <c r="R62" s="35">
        <v>86767</v>
      </c>
      <c r="S62" s="35"/>
      <c r="T62" s="35">
        <f>P62-R62</f>
        <v>130133</v>
      </c>
      <c r="U62" s="35">
        <f>T62*U$3</f>
        <v>2407460.5</v>
      </c>
      <c r="V62" s="36"/>
      <c r="W62" s="37"/>
      <c r="X62" s="35" t="e">
        <f>VLOOKUP(C62,Banorte!F:K,6,FALSE)</f>
        <v>#N/A</v>
      </c>
      <c r="Y62" s="35"/>
      <c r="Z62" s="35" t="e">
        <f>X62-Y62</f>
        <v>#N/A</v>
      </c>
      <c r="AA62" s="37"/>
      <c r="AB62" s="34"/>
      <c r="AC62" s="43"/>
      <c r="AD62" s="44"/>
      <c r="AE62" s="34"/>
      <c r="AF62" s="39"/>
      <c r="AG62" s="40"/>
      <c r="AH62" s="114"/>
      <c r="AI62" s="109">
        <v>46170</v>
      </c>
      <c r="AJ62" s="116"/>
      <c r="AK62" s="41"/>
      <c r="AL62" s="33"/>
      <c r="AM62" s="33"/>
      <c r="AN62" s="42"/>
      <c r="AO62" s="108">
        <v>501</v>
      </c>
      <c r="AP62" s="113">
        <v>46080</v>
      </c>
      <c r="AQ62" s="109">
        <v>46170</v>
      </c>
      <c r="AR62" s="110" t="s">
        <v>53</v>
      </c>
      <c r="AS62" s="110"/>
    </row>
    <row r="63" spans="1:45" x14ac:dyDescent="0.2">
      <c r="A63" s="60"/>
      <c r="B63" s="33">
        <v>40</v>
      </c>
      <c r="C63" s="33">
        <v>502</v>
      </c>
      <c r="D63" s="33" t="s">
        <v>890</v>
      </c>
      <c r="E63" s="34"/>
      <c r="F63" s="34" t="s">
        <v>316</v>
      </c>
      <c r="G63" s="34" t="s">
        <v>317</v>
      </c>
      <c r="H63" s="34"/>
      <c r="I63" s="34"/>
      <c r="J63" s="34"/>
      <c r="K63" s="34"/>
      <c r="L63" s="34"/>
      <c r="M63" s="34" t="s">
        <v>445</v>
      </c>
      <c r="N63" s="34"/>
      <c r="O63" s="34" t="s">
        <v>11</v>
      </c>
      <c r="P63" s="35">
        <v>216900</v>
      </c>
      <c r="Q63" s="35">
        <f>P63*$U$3</f>
        <v>4012650</v>
      </c>
      <c r="R63" s="35">
        <v>86767</v>
      </c>
      <c r="S63" s="35"/>
      <c r="T63" s="35">
        <f>P63-R63</f>
        <v>130133</v>
      </c>
      <c r="U63" s="35">
        <f>T63*U$3</f>
        <v>2407460.5</v>
      </c>
      <c r="V63" s="36"/>
      <c r="W63" s="37" t="s">
        <v>55</v>
      </c>
      <c r="X63" s="35" t="e">
        <f>VLOOKUP(C63,Banorte!F:K,6,FALSE)</f>
        <v>#N/A</v>
      </c>
      <c r="Y63" s="35"/>
      <c r="Z63" s="35" t="e">
        <f>X63-Y63</f>
        <v>#N/A</v>
      </c>
      <c r="AA63" s="38"/>
      <c r="AB63" s="34"/>
      <c r="AC63" s="43"/>
      <c r="AD63" s="44"/>
      <c r="AE63" s="33"/>
      <c r="AF63" s="39"/>
      <c r="AG63" s="40"/>
      <c r="AH63" s="114"/>
      <c r="AI63" s="109">
        <v>46170</v>
      </c>
      <c r="AJ63" s="116"/>
      <c r="AK63" s="41"/>
      <c r="AL63" s="33"/>
      <c r="AM63" s="33"/>
      <c r="AN63" s="42"/>
      <c r="AO63" s="108">
        <v>502</v>
      </c>
      <c r="AP63" s="113">
        <v>46080</v>
      </c>
      <c r="AQ63" s="109">
        <v>46170</v>
      </c>
      <c r="AR63" s="110" t="s">
        <v>445</v>
      </c>
      <c r="AS63" s="110"/>
    </row>
    <row r="64" spans="1:45" x14ac:dyDescent="0.2">
      <c r="A64" s="60"/>
      <c r="B64" s="33">
        <v>41</v>
      </c>
      <c r="C64" s="33">
        <v>503</v>
      </c>
      <c r="D64" s="33" t="s">
        <v>890</v>
      </c>
      <c r="E64" s="34"/>
      <c r="F64" s="34" t="s">
        <v>75</v>
      </c>
      <c r="G64" s="34" t="s">
        <v>318</v>
      </c>
      <c r="H64" s="34"/>
      <c r="I64" s="34"/>
      <c r="J64" s="34"/>
      <c r="K64" s="34"/>
      <c r="L64" s="34"/>
      <c r="M64" s="34" t="s">
        <v>53</v>
      </c>
      <c r="N64" s="34"/>
      <c r="O64" s="34" t="s">
        <v>11</v>
      </c>
      <c r="P64" s="35">
        <v>216900</v>
      </c>
      <c r="Q64" s="35">
        <f>P64*$U$3</f>
        <v>4012650</v>
      </c>
      <c r="R64" s="35">
        <v>86767</v>
      </c>
      <c r="S64" s="35"/>
      <c r="T64" s="35">
        <f>P64-R64</f>
        <v>130133</v>
      </c>
      <c r="U64" s="35">
        <f>T64*U$3</f>
        <v>2407460.5</v>
      </c>
      <c r="V64" s="36"/>
      <c r="W64" s="37"/>
      <c r="X64" s="35" t="e">
        <f>VLOOKUP(C64,Banorte!F:K,6,FALSE)</f>
        <v>#N/A</v>
      </c>
      <c r="Y64" s="35"/>
      <c r="Z64" s="35" t="e">
        <f>X64-Y64</f>
        <v>#N/A</v>
      </c>
      <c r="AA64" s="37"/>
      <c r="AB64" s="34"/>
      <c r="AC64" s="43"/>
      <c r="AD64" s="44"/>
      <c r="AE64" s="34"/>
      <c r="AF64" s="39"/>
      <c r="AG64" s="40"/>
      <c r="AH64" s="114"/>
      <c r="AI64" s="109">
        <v>46170</v>
      </c>
      <c r="AJ64" s="116"/>
      <c r="AK64" s="41"/>
      <c r="AL64" s="33"/>
      <c r="AM64" s="33"/>
      <c r="AN64" s="42"/>
      <c r="AO64" s="108">
        <v>503</v>
      </c>
      <c r="AP64" s="113">
        <v>46080</v>
      </c>
      <c r="AQ64" s="109">
        <v>46170</v>
      </c>
      <c r="AR64" s="110" t="s">
        <v>53</v>
      </c>
      <c r="AS64" s="110"/>
    </row>
    <row r="65" spans="1:45" x14ac:dyDescent="0.2">
      <c r="A65" s="60"/>
      <c r="B65" s="33">
        <v>171</v>
      </c>
      <c r="C65" s="34">
        <v>504</v>
      </c>
      <c r="D65" s="34" t="s">
        <v>891</v>
      </c>
      <c r="E65" s="34"/>
      <c r="F65" s="34" t="s">
        <v>614</v>
      </c>
      <c r="G65" s="34" t="s">
        <v>615</v>
      </c>
      <c r="H65" s="34" t="s">
        <v>616</v>
      </c>
      <c r="I65" s="34"/>
      <c r="J65" s="34"/>
      <c r="K65" s="34"/>
      <c r="L65" s="34"/>
      <c r="M65" s="34" t="s">
        <v>58</v>
      </c>
      <c r="N65" s="34"/>
      <c r="O65" s="34" t="s">
        <v>11</v>
      </c>
      <c r="P65" s="35"/>
      <c r="Q65" s="35">
        <v>8271200</v>
      </c>
      <c r="R65" s="35"/>
      <c r="S65" s="35">
        <v>8271200</v>
      </c>
      <c r="T65" s="35"/>
      <c r="U65" s="35">
        <f>Q65-S65</f>
        <v>0</v>
      </c>
      <c r="V65" s="36"/>
      <c r="W65" s="37"/>
      <c r="X65" s="35" t="e">
        <f>VLOOKUP(C65,Banorte!F:K,6,FALSE)</f>
        <v>#N/A</v>
      </c>
      <c r="Y65" s="35"/>
      <c r="Z65" s="35" t="e">
        <f>X65-Y65</f>
        <v>#N/A</v>
      </c>
      <c r="AA65" s="37"/>
      <c r="AB65" s="34"/>
      <c r="AC65" s="43"/>
      <c r="AD65" s="44"/>
      <c r="AE65" s="34"/>
      <c r="AF65" s="39"/>
      <c r="AG65" s="40"/>
      <c r="AH65" s="114"/>
      <c r="AI65" s="109">
        <v>46170</v>
      </c>
      <c r="AJ65" s="116"/>
      <c r="AK65" s="41"/>
      <c r="AL65" s="33"/>
      <c r="AM65" s="33"/>
      <c r="AN65" s="42"/>
      <c r="AO65" s="112">
        <v>504</v>
      </c>
      <c r="AP65" s="113">
        <v>46080</v>
      </c>
      <c r="AQ65" s="109">
        <v>46170</v>
      </c>
      <c r="AR65" s="110" t="s">
        <v>58</v>
      </c>
      <c r="AS65" s="110" t="s">
        <v>34</v>
      </c>
    </row>
    <row r="66" spans="1:45" x14ac:dyDescent="0.2">
      <c r="A66" s="60"/>
      <c r="B66" s="33">
        <v>42</v>
      </c>
      <c r="C66" s="33">
        <v>505</v>
      </c>
      <c r="D66" s="33" t="s">
        <v>890</v>
      </c>
      <c r="E66" s="34"/>
      <c r="F66" s="34" t="s">
        <v>319</v>
      </c>
      <c r="G66" s="34" t="s">
        <v>320</v>
      </c>
      <c r="H66" s="34"/>
      <c r="I66" s="34"/>
      <c r="J66" s="34"/>
      <c r="K66" s="34"/>
      <c r="L66" s="34"/>
      <c r="M66" s="34" t="s">
        <v>445</v>
      </c>
      <c r="N66" s="34"/>
      <c r="O66" s="34" t="s">
        <v>11</v>
      </c>
      <c r="P66" s="35">
        <v>370500</v>
      </c>
      <c r="Q66" s="35">
        <f>P66*$U$3</f>
        <v>6854250</v>
      </c>
      <c r="R66" s="35">
        <v>132320</v>
      </c>
      <c r="S66" s="35"/>
      <c r="T66" s="35">
        <f>P66-R66</f>
        <v>238180</v>
      </c>
      <c r="U66" s="35">
        <f>T66*U$3</f>
        <v>4406330</v>
      </c>
      <c r="V66" s="36"/>
      <c r="W66" s="37" t="s">
        <v>55</v>
      </c>
      <c r="X66" s="35" t="e">
        <f>VLOOKUP(C66,Banorte!F:K,6,FALSE)</f>
        <v>#N/A</v>
      </c>
      <c r="Y66" s="35"/>
      <c r="Z66" s="35" t="e">
        <f>X66-Y66</f>
        <v>#N/A</v>
      </c>
      <c r="AA66" s="37"/>
      <c r="AB66" s="34"/>
      <c r="AC66" s="43"/>
      <c r="AD66" s="44"/>
      <c r="AE66" s="34"/>
      <c r="AF66" s="39"/>
      <c r="AG66" s="40"/>
      <c r="AH66" s="114"/>
      <c r="AI66" s="109">
        <v>46170</v>
      </c>
      <c r="AJ66" s="116"/>
      <c r="AK66" s="41"/>
      <c r="AL66" s="33"/>
      <c r="AM66" s="33"/>
      <c r="AN66" s="42"/>
      <c r="AO66" s="108">
        <v>505</v>
      </c>
      <c r="AP66" s="113">
        <v>46080</v>
      </c>
      <c r="AQ66" s="109">
        <v>46170</v>
      </c>
      <c r="AR66" s="110" t="s">
        <v>445</v>
      </c>
      <c r="AS66" s="110"/>
    </row>
    <row r="67" spans="1:45" x14ac:dyDescent="0.2">
      <c r="A67" s="60"/>
      <c r="B67" s="33">
        <v>43</v>
      </c>
      <c r="C67" s="33">
        <v>506</v>
      </c>
      <c r="D67" s="33" t="s">
        <v>890</v>
      </c>
      <c r="E67" s="34"/>
      <c r="F67" s="34" t="s">
        <v>321</v>
      </c>
      <c r="G67" s="34" t="s">
        <v>60</v>
      </c>
      <c r="H67" s="34"/>
      <c r="I67" s="34"/>
      <c r="J67" s="34"/>
      <c r="K67" s="34"/>
      <c r="L67" s="34"/>
      <c r="M67" s="34" t="s">
        <v>445</v>
      </c>
      <c r="N67" s="34"/>
      <c r="O67" s="34" t="s">
        <v>11</v>
      </c>
      <c r="P67" s="35">
        <v>216900</v>
      </c>
      <c r="Q67" s="35">
        <f>P67*$U$3</f>
        <v>4012650</v>
      </c>
      <c r="R67" s="35">
        <v>86767</v>
      </c>
      <c r="S67" s="35"/>
      <c r="T67" s="35">
        <f>P67-R67</f>
        <v>130133</v>
      </c>
      <c r="U67" s="35">
        <f>T67*U$3</f>
        <v>2407460.5</v>
      </c>
      <c r="V67" s="36"/>
      <c r="W67" s="37" t="s">
        <v>55</v>
      </c>
      <c r="X67" s="35" t="e">
        <f>VLOOKUP(C67,Banorte!F:K,6,FALSE)</f>
        <v>#N/A</v>
      </c>
      <c r="Y67" s="35"/>
      <c r="Z67" s="35" t="e">
        <f>X67-Y67</f>
        <v>#N/A</v>
      </c>
      <c r="AA67" s="38"/>
      <c r="AB67" s="34"/>
      <c r="AC67" s="43"/>
      <c r="AD67" s="44"/>
      <c r="AE67" s="33"/>
      <c r="AF67" s="39"/>
      <c r="AG67" s="40"/>
      <c r="AH67" s="114"/>
      <c r="AI67" s="109">
        <v>46170</v>
      </c>
      <c r="AJ67" s="116"/>
      <c r="AK67" s="41"/>
      <c r="AL67" s="33"/>
      <c r="AM67" s="33"/>
      <c r="AN67" s="42"/>
      <c r="AO67" s="108">
        <v>506</v>
      </c>
      <c r="AP67" s="113">
        <v>46080</v>
      </c>
      <c r="AQ67" s="109">
        <v>46170</v>
      </c>
      <c r="AR67" s="110" t="s">
        <v>445</v>
      </c>
      <c r="AS67" s="110"/>
    </row>
    <row r="68" spans="1:45" x14ac:dyDescent="0.2">
      <c r="A68" s="60"/>
      <c r="B68" s="33">
        <v>44</v>
      </c>
      <c r="C68" s="33">
        <v>507</v>
      </c>
      <c r="D68" s="33" t="s">
        <v>890</v>
      </c>
      <c r="E68" s="34"/>
      <c r="F68" s="34" t="s">
        <v>322</v>
      </c>
      <c r="G68" s="34" t="s">
        <v>323</v>
      </c>
      <c r="H68" s="34"/>
      <c r="I68" s="34"/>
      <c r="J68" s="34"/>
      <c r="K68" s="34"/>
      <c r="L68" s="34"/>
      <c r="M68" s="34" t="s">
        <v>445</v>
      </c>
      <c r="N68" s="34"/>
      <c r="O68" s="34" t="s">
        <v>11</v>
      </c>
      <c r="P68" s="35">
        <v>216900</v>
      </c>
      <c r="Q68" s="35">
        <f>P68*$U$3</f>
        <v>4012650</v>
      </c>
      <c r="R68" s="35">
        <v>86667</v>
      </c>
      <c r="S68" s="35"/>
      <c r="T68" s="35">
        <f>P68-R68</f>
        <v>130233</v>
      </c>
      <c r="U68" s="35">
        <f>T68*U$3</f>
        <v>2409310.5</v>
      </c>
      <c r="V68" s="36"/>
      <c r="W68" s="37" t="s">
        <v>55</v>
      </c>
      <c r="X68" s="35" t="e">
        <f>VLOOKUP(C68,Banorte!F:K,6,FALSE)</f>
        <v>#N/A</v>
      </c>
      <c r="Y68" s="35"/>
      <c r="Z68" s="35" t="e">
        <f>X68-Y68</f>
        <v>#N/A</v>
      </c>
      <c r="AA68" s="37"/>
      <c r="AB68" s="34"/>
      <c r="AC68" s="43"/>
      <c r="AD68" s="44"/>
      <c r="AE68" s="34"/>
      <c r="AF68" s="39"/>
      <c r="AG68" s="40"/>
      <c r="AH68" s="114"/>
      <c r="AI68" s="109">
        <v>46170</v>
      </c>
      <c r="AJ68" s="116"/>
      <c r="AK68" s="41"/>
      <c r="AL68" s="33"/>
      <c r="AM68" s="33"/>
      <c r="AN68" s="42"/>
      <c r="AO68" s="108">
        <v>507</v>
      </c>
      <c r="AP68" s="113">
        <v>46080</v>
      </c>
      <c r="AQ68" s="109">
        <v>46170</v>
      </c>
      <c r="AR68" s="110" t="s">
        <v>445</v>
      </c>
      <c r="AS68" s="110"/>
    </row>
    <row r="69" spans="1:45" x14ac:dyDescent="0.2">
      <c r="A69" s="60"/>
      <c r="B69" s="33">
        <v>45</v>
      </c>
      <c r="C69" s="33">
        <v>508</v>
      </c>
      <c r="D69" s="33" t="s">
        <v>890</v>
      </c>
      <c r="E69" s="34"/>
      <c r="F69" s="34" t="s">
        <v>324</v>
      </c>
      <c r="G69" s="34" t="s">
        <v>325</v>
      </c>
      <c r="H69" s="34"/>
      <c r="I69" s="34"/>
      <c r="J69" s="34"/>
      <c r="K69" s="34"/>
      <c r="L69" s="34"/>
      <c r="M69" s="34" t="s">
        <v>445</v>
      </c>
      <c r="N69" s="34"/>
      <c r="O69" s="34" t="s">
        <v>11</v>
      </c>
      <c r="P69" s="35">
        <v>216900</v>
      </c>
      <c r="Q69" s="35">
        <f>P69*$U$3</f>
        <v>4012650</v>
      </c>
      <c r="R69" s="35">
        <v>216400</v>
      </c>
      <c r="S69" s="35"/>
      <c r="T69" s="35">
        <f>P69-R69</f>
        <v>500</v>
      </c>
      <c r="U69" s="35">
        <f>T69*U$3</f>
        <v>9250</v>
      </c>
      <c r="V69" s="36"/>
      <c r="W69" s="37" t="s">
        <v>55</v>
      </c>
      <c r="X69" s="35" t="e">
        <f>VLOOKUP(C69,Banorte!F:K,6,FALSE)</f>
        <v>#N/A</v>
      </c>
      <c r="Y69" s="35"/>
      <c r="Z69" s="35" t="e">
        <f>X69-Y69</f>
        <v>#N/A</v>
      </c>
      <c r="AA69" s="38"/>
      <c r="AB69" s="34"/>
      <c r="AC69" s="43"/>
      <c r="AD69" s="44"/>
      <c r="AE69" s="33"/>
      <c r="AF69" s="39"/>
      <c r="AG69" s="40"/>
      <c r="AH69" s="114"/>
      <c r="AI69" s="109">
        <v>46170</v>
      </c>
      <c r="AJ69" s="116"/>
      <c r="AK69" s="41"/>
      <c r="AL69" s="33"/>
      <c r="AM69" s="33"/>
      <c r="AN69" s="42"/>
      <c r="AO69" s="112">
        <v>508</v>
      </c>
      <c r="AP69" s="113">
        <v>46080</v>
      </c>
      <c r="AQ69" s="109">
        <v>46170</v>
      </c>
      <c r="AR69" s="110" t="s">
        <v>445</v>
      </c>
      <c r="AS69" s="110" t="s">
        <v>34</v>
      </c>
    </row>
    <row r="70" spans="1:45" x14ac:dyDescent="0.2">
      <c r="A70" s="60"/>
      <c r="B70" s="33">
        <v>46</v>
      </c>
      <c r="C70" s="33">
        <v>509</v>
      </c>
      <c r="D70" s="33" t="s">
        <v>890</v>
      </c>
      <c r="E70" s="34"/>
      <c r="F70" s="34" t="s">
        <v>326</v>
      </c>
      <c r="G70" s="34" t="s">
        <v>327</v>
      </c>
      <c r="H70" s="34"/>
      <c r="I70" s="34"/>
      <c r="J70" s="34"/>
      <c r="K70" s="34"/>
      <c r="L70" s="34"/>
      <c r="M70" s="34" t="s">
        <v>445</v>
      </c>
      <c r="N70" s="34"/>
      <c r="O70" s="34" t="s">
        <v>11</v>
      </c>
      <c r="P70" s="35">
        <v>216900</v>
      </c>
      <c r="Q70" s="35">
        <f>P70*$U$3</f>
        <v>4012650</v>
      </c>
      <c r="R70" s="35">
        <v>108450</v>
      </c>
      <c r="S70" s="35"/>
      <c r="T70" s="35">
        <f>P70-R70</f>
        <v>108450</v>
      </c>
      <c r="U70" s="35">
        <f>T70*U$3</f>
        <v>2006325</v>
      </c>
      <c r="V70" s="36"/>
      <c r="W70" s="37" t="s">
        <v>55</v>
      </c>
      <c r="X70" s="35" t="e">
        <f>VLOOKUP(C70,Banorte!F:K,6,FALSE)</f>
        <v>#N/A</v>
      </c>
      <c r="Y70" s="35"/>
      <c r="Z70" s="35" t="e">
        <f>X70-Y70</f>
        <v>#N/A</v>
      </c>
      <c r="AA70" s="37"/>
      <c r="AB70" s="34"/>
      <c r="AC70" s="43"/>
      <c r="AD70" s="44"/>
      <c r="AE70" s="34"/>
      <c r="AF70" s="39"/>
      <c r="AG70" s="40"/>
      <c r="AH70" s="114"/>
      <c r="AI70" s="109">
        <v>46170</v>
      </c>
      <c r="AJ70" s="116"/>
      <c r="AK70" s="41"/>
      <c r="AL70" s="33"/>
      <c r="AM70" s="33"/>
      <c r="AN70" s="42"/>
      <c r="AO70" s="108">
        <v>509</v>
      </c>
      <c r="AP70" s="113">
        <v>46080</v>
      </c>
      <c r="AQ70" s="109">
        <v>46170</v>
      </c>
      <c r="AR70" s="110" t="s">
        <v>445</v>
      </c>
      <c r="AS70" s="110"/>
    </row>
    <row r="71" spans="1:45" x14ac:dyDescent="0.2">
      <c r="A71" s="60"/>
      <c r="B71" s="33">
        <v>47</v>
      </c>
      <c r="C71" s="33">
        <v>510</v>
      </c>
      <c r="D71" s="33" t="s">
        <v>890</v>
      </c>
      <c r="E71" s="34"/>
      <c r="F71" s="34" t="s">
        <v>261</v>
      </c>
      <c r="G71" s="34" t="s">
        <v>328</v>
      </c>
      <c r="H71" s="34"/>
      <c r="I71" s="34"/>
      <c r="J71" s="34"/>
      <c r="K71" s="34"/>
      <c r="L71" s="34"/>
      <c r="M71" s="34" t="s">
        <v>53</v>
      </c>
      <c r="N71" s="34"/>
      <c r="O71" s="34" t="s">
        <v>11</v>
      </c>
      <c r="P71" s="35">
        <v>216900</v>
      </c>
      <c r="Q71" s="35">
        <f>P71*$U$3</f>
        <v>4012650</v>
      </c>
      <c r="R71" s="35">
        <v>86767</v>
      </c>
      <c r="S71" s="35"/>
      <c r="T71" s="35">
        <f>P71-R71</f>
        <v>130133</v>
      </c>
      <c r="U71" s="35">
        <f>T71*U$3</f>
        <v>2407460.5</v>
      </c>
      <c r="V71" s="36"/>
      <c r="W71" s="37"/>
      <c r="X71" s="35" t="e">
        <f>VLOOKUP(C71,Banorte!F:K,6,FALSE)</f>
        <v>#N/A</v>
      </c>
      <c r="Y71" s="35"/>
      <c r="Z71" s="35" t="e">
        <f>X71-Y71</f>
        <v>#N/A</v>
      </c>
      <c r="AA71" s="37"/>
      <c r="AB71" s="34"/>
      <c r="AC71" s="43"/>
      <c r="AD71" s="44"/>
      <c r="AE71" s="34"/>
      <c r="AF71" s="39"/>
      <c r="AG71" s="40"/>
      <c r="AH71" s="114"/>
      <c r="AI71" s="109">
        <v>46170</v>
      </c>
      <c r="AJ71" s="116"/>
      <c r="AK71" s="41"/>
      <c r="AL71" s="33"/>
      <c r="AM71" s="33"/>
      <c r="AN71" s="42"/>
      <c r="AO71" s="108">
        <v>510</v>
      </c>
      <c r="AP71" s="113">
        <v>46080</v>
      </c>
      <c r="AQ71" s="109">
        <v>46170</v>
      </c>
      <c r="AR71" s="110" t="s">
        <v>53</v>
      </c>
      <c r="AS71" s="110"/>
    </row>
    <row r="72" spans="1:45" x14ac:dyDescent="0.2">
      <c r="A72" s="60"/>
      <c r="B72" s="33">
        <v>48</v>
      </c>
      <c r="C72" s="33">
        <v>511</v>
      </c>
      <c r="D72" s="33" t="s">
        <v>890</v>
      </c>
      <c r="E72" s="34"/>
      <c r="F72" s="34" t="s">
        <v>329</v>
      </c>
      <c r="G72" s="34" t="s">
        <v>330</v>
      </c>
      <c r="H72" s="34"/>
      <c r="I72" s="34"/>
      <c r="J72" s="34"/>
      <c r="K72" s="34"/>
      <c r="L72" s="34"/>
      <c r="M72" s="34" t="s">
        <v>53</v>
      </c>
      <c r="N72" s="34"/>
      <c r="O72" s="34" t="s">
        <v>11</v>
      </c>
      <c r="P72" s="35">
        <v>216900</v>
      </c>
      <c r="Q72" s="35">
        <f>P72*$U$3</f>
        <v>4012650</v>
      </c>
      <c r="R72" s="35">
        <v>96767</v>
      </c>
      <c r="S72" s="35"/>
      <c r="T72" s="35">
        <f>P72-R72</f>
        <v>120133</v>
      </c>
      <c r="U72" s="35">
        <f>T72*U$3</f>
        <v>2222460.5</v>
      </c>
      <c r="V72" s="36"/>
      <c r="W72" s="37"/>
      <c r="X72" s="35" t="e">
        <f>VLOOKUP(C72,Banorte!F:K,6,FALSE)</f>
        <v>#N/A</v>
      </c>
      <c r="Y72" s="35"/>
      <c r="Z72" s="35" t="e">
        <f>X72-Y72</f>
        <v>#N/A</v>
      </c>
      <c r="AA72" s="38"/>
      <c r="AB72" s="34"/>
      <c r="AC72" s="43"/>
      <c r="AD72" s="44"/>
      <c r="AE72" s="33"/>
      <c r="AF72" s="39"/>
      <c r="AG72" s="40"/>
      <c r="AH72" s="114"/>
      <c r="AI72" s="109">
        <v>46170</v>
      </c>
      <c r="AJ72" s="116"/>
      <c r="AK72" s="41"/>
      <c r="AL72" s="33"/>
      <c r="AM72" s="33"/>
      <c r="AN72" s="42"/>
      <c r="AO72" s="108">
        <v>511</v>
      </c>
      <c r="AP72" s="113">
        <v>46080</v>
      </c>
      <c r="AQ72" s="109">
        <v>46170</v>
      </c>
      <c r="AR72" s="110" t="s">
        <v>53</v>
      </c>
      <c r="AS72" s="110"/>
    </row>
    <row r="73" spans="1:45" x14ac:dyDescent="0.2">
      <c r="A73" s="60"/>
      <c r="B73" s="33">
        <v>49</v>
      </c>
      <c r="C73" s="33">
        <v>512</v>
      </c>
      <c r="D73" s="33" t="s">
        <v>890</v>
      </c>
      <c r="E73" s="34"/>
      <c r="F73" s="34" t="s">
        <v>331</v>
      </c>
      <c r="G73" s="34" t="s">
        <v>332</v>
      </c>
      <c r="H73" s="34"/>
      <c r="I73" s="34"/>
      <c r="J73" s="34"/>
      <c r="K73" s="34"/>
      <c r="L73" s="34"/>
      <c r="M73" s="34" t="s">
        <v>445</v>
      </c>
      <c r="N73" s="34"/>
      <c r="O73" s="34" t="s">
        <v>11</v>
      </c>
      <c r="P73" s="35">
        <v>216900</v>
      </c>
      <c r="Q73" s="35">
        <f>P73*$U$3</f>
        <v>4012650</v>
      </c>
      <c r="R73" s="35">
        <v>86767</v>
      </c>
      <c r="S73" s="35"/>
      <c r="T73" s="35">
        <f>P73-R73</f>
        <v>130133</v>
      </c>
      <c r="U73" s="35">
        <f>T73*U$3</f>
        <v>2407460.5</v>
      </c>
      <c r="V73" s="36"/>
      <c r="W73" s="37" t="s">
        <v>55</v>
      </c>
      <c r="X73" s="35" t="e">
        <f>VLOOKUP(C73,Banorte!F:K,6,FALSE)</f>
        <v>#N/A</v>
      </c>
      <c r="Y73" s="35"/>
      <c r="Z73" s="35" t="e">
        <f>X73-Y73</f>
        <v>#N/A</v>
      </c>
      <c r="AA73" s="37"/>
      <c r="AB73" s="34"/>
      <c r="AC73" s="43"/>
      <c r="AD73" s="44"/>
      <c r="AE73" s="34"/>
      <c r="AF73" s="39"/>
      <c r="AG73" s="40"/>
      <c r="AH73" s="114"/>
      <c r="AI73" s="109">
        <v>46170</v>
      </c>
      <c r="AJ73" s="116"/>
      <c r="AK73" s="41"/>
      <c r="AL73" s="33"/>
      <c r="AM73" s="33"/>
      <c r="AN73" s="42"/>
      <c r="AO73" s="108">
        <v>512</v>
      </c>
      <c r="AP73" s="113">
        <v>46080</v>
      </c>
      <c r="AQ73" s="109">
        <v>46170</v>
      </c>
      <c r="AR73" s="110" t="s">
        <v>445</v>
      </c>
      <c r="AS73" s="110"/>
    </row>
    <row r="74" spans="1:45" x14ac:dyDescent="0.2">
      <c r="A74" s="60"/>
      <c r="B74" s="33">
        <v>172</v>
      </c>
      <c r="C74" s="34">
        <v>513</v>
      </c>
      <c r="D74" s="34" t="s">
        <v>891</v>
      </c>
      <c r="E74" s="34"/>
      <c r="F74" s="34" t="s">
        <v>68</v>
      </c>
      <c r="G74" s="34" t="s">
        <v>617</v>
      </c>
      <c r="H74" s="34" t="s">
        <v>618</v>
      </c>
      <c r="I74" s="34"/>
      <c r="J74" s="34"/>
      <c r="K74" s="34"/>
      <c r="L74" s="34"/>
      <c r="M74" s="34" t="s">
        <v>58</v>
      </c>
      <c r="N74" s="34"/>
      <c r="O74" s="34" t="s">
        <v>11</v>
      </c>
      <c r="P74" s="35"/>
      <c r="Q74" s="35">
        <v>9362700</v>
      </c>
      <c r="R74" s="35"/>
      <c r="S74" s="35">
        <v>2808810.04</v>
      </c>
      <c r="T74" s="35"/>
      <c r="U74" s="35">
        <f>Q74-S74</f>
        <v>6553889.96</v>
      </c>
      <c r="V74" s="36"/>
      <c r="W74" s="37"/>
      <c r="X74" s="35" t="e">
        <f>VLOOKUP(C74,Banorte!F:K,6,FALSE)</f>
        <v>#N/A</v>
      </c>
      <c r="Y74" s="35"/>
      <c r="Z74" s="35" t="e">
        <f>X74-Y74</f>
        <v>#N/A</v>
      </c>
      <c r="AA74" s="38"/>
      <c r="AB74" s="34"/>
      <c r="AC74" s="43"/>
      <c r="AD74" s="44"/>
      <c r="AE74" s="33"/>
      <c r="AF74" s="39"/>
      <c r="AG74" s="40"/>
      <c r="AH74" s="114"/>
      <c r="AI74" s="109">
        <v>46170</v>
      </c>
      <c r="AJ74" s="116"/>
      <c r="AK74" s="41"/>
      <c r="AL74" s="33"/>
      <c r="AM74" s="33"/>
      <c r="AN74" s="42"/>
      <c r="AO74" s="108">
        <v>513</v>
      </c>
      <c r="AP74" s="113">
        <v>46080</v>
      </c>
      <c r="AQ74" s="109">
        <v>46170</v>
      </c>
      <c r="AR74" s="110" t="s">
        <v>58</v>
      </c>
      <c r="AS74" s="110"/>
    </row>
    <row r="75" spans="1:45" x14ac:dyDescent="0.2">
      <c r="A75" s="60"/>
      <c r="B75" s="33">
        <v>173</v>
      </c>
      <c r="C75" s="34">
        <v>514</v>
      </c>
      <c r="D75" s="34" t="s">
        <v>891</v>
      </c>
      <c r="E75" s="34"/>
      <c r="F75" s="34"/>
      <c r="G75" s="34"/>
      <c r="H75" s="34"/>
      <c r="I75" s="34"/>
      <c r="J75" s="34"/>
      <c r="K75" s="34"/>
      <c r="L75" s="34"/>
      <c r="M75" s="34" t="s">
        <v>58</v>
      </c>
      <c r="N75" s="34"/>
      <c r="O75" s="34" t="s">
        <v>12</v>
      </c>
      <c r="P75" s="35"/>
      <c r="Q75" s="35"/>
      <c r="R75" s="35"/>
      <c r="S75" s="35"/>
      <c r="T75" s="35"/>
      <c r="U75" s="35">
        <f>Q75-S75</f>
        <v>0</v>
      </c>
      <c r="V75" s="36"/>
      <c r="W75" s="37"/>
      <c r="X75" s="35" t="e">
        <f>VLOOKUP(C75,Banorte!F:K,6,FALSE)</f>
        <v>#N/A</v>
      </c>
      <c r="Y75" s="35"/>
      <c r="Z75" s="35" t="e">
        <f>X75-Y75</f>
        <v>#N/A</v>
      </c>
      <c r="AA75" s="37"/>
      <c r="AB75" s="34"/>
      <c r="AC75" s="43"/>
      <c r="AD75" s="44"/>
      <c r="AE75" s="34"/>
      <c r="AF75" s="39"/>
      <c r="AG75" s="40"/>
      <c r="AH75" s="114"/>
      <c r="AI75" s="109">
        <v>46170</v>
      </c>
      <c r="AJ75" s="116"/>
      <c r="AK75" s="41"/>
      <c r="AL75" s="33"/>
      <c r="AM75" s="33"/>
      <c r="AN75" s="42"/>
      <c r="AO75" s="111">
        <v>514</v>
      </c>
      <c r="AP75" s="113">
        <v>46080</v>
      </c>
      <c r="AQ75" s="109">
        <v>46170</v>
      </c>
      <c r="AR75" s="110" t="s">
        <v>58</v>
      </c>
      <c r="AS75" s="110" t="s">
        <v>902</v>
      </c>
    </row>
    <row r="76" spans="1:45" x14ac:dyDescent="0.2">
      <c r="A76" s="60"/>
      <c r="B76" s="33">
        <v>50</v>
      </c>
      <c r="C76" s="33">
        <v>515</v>
      </c>
      <c r="D76" s="33" t="s">
        <v>890</v>
      </c>
      <c r="E76" s="34"/>
      <c r="F76" s="34" t="s">
        <v>333</v>
      </c>
      <c r="G76" s="34" t="s">
        <v>334</v>
      </c>
      <c r="H76" s="34"/>
      <c r="I76" s="34"/>
      <c r="J76" s="34"/>
      <c r="K76" s="34"/>
      <c r="L76" s="34"/>
      <c r="M76" s="34" t="s">
        <v>445</v>
      </c>
      <c r="N76" s="34"/>
      <c r="O76" s="34" t="s">
        <v>11</v>
      </c>
      <c r="P76" s="35">
        <v>216900</v>
      </c>
      <c r="Q76" s="35">
        <f>P76*$U$3</f>
        <v>4012650</v>
      </c>
      <c r="R76" s="35">
        <v>86767</v>
      </c>
      <c r="S76" s="35"/>
      <c r="T76" s="35">
        <f>P76-R76</f>
        <v>130133</v>
      </c>
      <c r="U76" s="35">
        <f>T76*U$3</f>
        <v>2407460.5</v>
      </c>
      <c r="V76" s="36"/>
      <c r="W76" s="37" t="s">
        <v>55</v>
      </c>
      <c r="X76" s="35" t="e">
        <f>VLOOKUP(C76,Banorte!F:K,6,FALSE)</f>
        <v>#N/A</v>
      </c>
      <c r="Y76" s="35"/>
      <c r="Z76" s="35" t="e">
        <f>X76-Y76</f>
        <v>#N/A</v>
      </c>
      <c r="AA76" s="37"/>
      <c r="AB76" s="34"/>
      <c r="AC76" s="43"/>
      <c r="AD76" s="44"/>
      <c r="AE76" s="34"/>
      <c r="AF76" s="39"/>
      <c r="AG76" s="40"/>
      <c r="AH76" s="114"/>
      <c r="AI76" s="109">
        <v>46170</v>
      </c>
      <c r="AJ76" s="116"/>
      <c r="AK76" s="41"/>
      <c r="AL76" s="33"/>
      <c r="AM76" s="33"/>
      <c r="AN76" s="42"/>
      <c r="AO76" s="108">
        <v>515</v>
      </c>
      <c r="AP76" s="113">
        <v>46080</v>
      </c>
      <c r="AQ76" s="109">
        <v>46170</v>
      </c>
      <c r="AR76" s="110" t="s">
        <v>445</v>
      </c>
      <c r="AS76" s="110"/>
    </row>
    <row r="77" spans="1:45" x14ac:dyDescent="0.2">
      <c r="A77" s="60"/>
      <c r="B77" s="33">
        <v>51</v>
      </c>
      <c r="C77" s="33">
        <v>516</v>
      </c>
      <c r="D77" s="33" t="s">
        <v>890</v>
      </c>
      <c r="E77" s="34"/>
      <c r="F77" s="34" t="s">
        <v>335</v>
      </c>
      <c r="G77" s="34" t="s">
        <v>336</v>
      </c>
      <c r="H77" s="34"/>
      <c r="I77" s="34"/>
      <c r="J77" s="34"/>
      <c r="K77" s="34"/>
      <c r="L77" s="34"/>
      <c r="M77" s="34" t="s">
        <v>445</v>
      </c>
      <c r="N77" s="34"/>
      <c r="O77" s="34" t="s">
        <v>11</v>
      </c>
      <c r="P77" s="35">
        <v>216900</v>
      </c>
      <c r="Q77" s="35">
        <f>P77*$U$3</f>
        <v>4012650</v>
      </c>
      <c r="R77" s="35">
        <v>108450</v>
      </c>
      <c r="S77" s="35"/>
      <c r="T77" s="35">
        <f>P77-R77</f>
        <v>108450</v>
      </c>
      <c r="U77" s="35">
        <f>T77*U$3</f>
        <v>2006325</v>
      </c>
      <c r="V77" s="36"/>
      <c r="W77" s="37" t="s">
        <v>55</v>
      </c>
      <c r="X77" s="35" t="e">
        <f>VLOOKUP(C77,Banorte!F:K,6,FALSE)</f>
        <v>#N/A</v>
      </c>
      <c r="Y77" s="35"/>
      <c r="Z77" s="35" t="e">
        <f>X77-Y77</f>
        <v>#N/A</v>
      </c>
      <c r="AA77" s="38"/>
      <c r="AB77" s="34"/>
      <c r="AC77" s="43"/>
      <c r="AD77" s="44"/>
      <c r="AE77" s="33"/>
      <c r="AF77" s="39"/>
      <c r="AG77" s="40"/>
      <c r="AH77" s="114"/>
      <c r="AI77" s="109">
        <v>46170</v>
      </c>
      <c r="AJ77" s="116"/>
      <c r="AK77" s="41"/>
      <c r="AL77" s="33"/>
      <c r="AM77" s="33"/>
      <c r="AN77" s="42"/>
      <c r="AO77" s="108">
        <v>516</v>
      </c>
      <c r="AP77" s="113">
        <v>46080</v>
      </c>
      <c r="AQ77" s="109">
        <v>46170</v>
      </c>
      <c r="AR77" s="110" t="s">
        <v>445</v>
      </c>
      <c r="AS77" s="110"/>
    </row>
    <row r="78" spans="1:45" x14ac:dyDescent="0.2">
      <c r="A78" s="60"/>
      <c r="B78" s="33">
        <v>52</v>
      </c>
      <c r="C78" s="33">
        <v>517</v>
      </c>
      <c r="D78" s="33" t="s">
        <v>890</v>
      </c>
      <c r="E78" s="34"/>
      <c r="F78" s="34" t="s">
        <v>337</v>
      </c>
      <c r="G78" s="34" t="s">
        <v>338</v>
      </c>
      <c r="H78" s="34"/>
      <c r="I78" s="34"/>
      <c r="J78" s="34"/>
      <c r="K78" s="34"/>
      <c r="L78" s="34"/>
      <c r="M78" s="34" t="s">
        <v>445</v>
      </c>
      <c r="N78" s="34"/>
      <c r="O78" s="34" t="s">
        <v>11</v>
      </c>
      <c r="P78" s="35">
        <v>216900</v>
      </c>
      <c r="Q78" s="35">
        <f>P78*$U$3</f>
        <v>4012650</v>
      </c>
      <c r="R78" s="35">
        <v>88171</v>
      </c>
      <c r="S78" s="35"/>
      <c r="T78" s="35">
        <f>P78-R78</f>
        <v>128729</v>
      </c>
      <c r="U78" s="35">
        <f>T78*U$3</f>
        <v>2381486.5</v>
      </c>
      <c r="V78" s="36"/>
      <c r="W78" s="37" t="s">
        <v>55</v>
      </c>
      <c r="X78" s="35" t="e">
        <f>VLOOKUP(C78,Banorte!F:K,6,FALSE)</f>
        <v>#N/A</v>
      </c>
      <c r="Y78" s="35"/>
      <c r="Z78" s="35" t="e">
        <f>X78-Y78</f>
        <v>#N/A</v>
      </c>
      <c r="AA78" s="37"/>
      <c r="AB78" s="34"/>
      <c r="AC78" s="43"/>
      <c r="AD78" s="44"/>
      <c r="AE78" s="34"/>
      <c r="AF78" s="39"/>
      <c r="AG78" s="40"/>
      <c r="AH78" s="114"/>
      <c r="AI78" s="109">
        <v>46170</v>
      </c>
      <c r="AJ78" s="116"/>
      <c r="AK78" s="41"/>
      <c r="AL78" s="33"/>
      <c r="AM78" s="33"/>
      <c r="AN78" s="42"/>
      <c r="AO78" s="108">
        <v>517</v>
      </c>
      <c r="AP78" s="113">
        <v>46080</v>
      </c>
      <c r="AQ78" s="109">
        <v>46170</v>
      </c>
      <c r="AR78" s="110" t="s">
        <v>445</v>
      </c>
      <c r="AS78" s="110"/>
    </row>
    <row r="79" spans="1:45" x14ac:dyDescent="0.2">
      <c r="A79" s="60"/>
      <c r="B79" s="33">
        <v>53</v>
      </c>
      <c r="C79" s="33">
        <v>601</v>
      </c>
      <c r="D79" s="33" t="s">
        <v>890</v>
      </c>
      <c r="E79" s="34"/>
      <c r="F79" s="34" t="s">
        <v>61</v>
      </c>
      <c r="G79" s="34" t="s">
        <v>62</v>
      </c>
      <c r="H79" s="34"/>
      <c r="I79" s="34"/>
      <c r="J79" s="34"/>
      <c r="K79" s="34"/>
      <c r="L79" s="34"/>
      <c r="M79" s="34" t="s">
        <v>445</v>
      </c>
      <c r="N79" s="34"/>
      <c r="O79" s="34" t="s">
        <v>11</v>
      </c>
      <c r="P79" s="35">
        <v>216900</v>
      </c>
      <c r="Q79" s="35">
        <f>P79*$U$3</f>
        <v>4012650</v>
      </c>
      <c r="R79" s="35">
        <v>86767</v>
      </c>
      <c r="S79" s="35"/>
      <c r="T79" s="35">
        <f>P79-R79</f>
        <v>130133</v>
      </c>
      <c r="U79" s="35">
        <f>T79*U$3</f>
        <v>2407460.5</v>
      </c>
      <c r="V79" s="36"/>
      <c r="W79" s="37" t="s">
        <v>55</v>
      </c>
      <c r="X79" s="35" t="e">
        <f>VLOOKUP(C79,Banorte!F:K,6,FALSE)</f>
        <v>#N/A</v>
      </c>
      <c r="Y79" s="35"/>
      <c r="Z79" s="35" t="e">
        <f>X79-Y79</f>
        <v>#N/A</v>
      </c>
      <c r="AA79" s="37"/>
      <c r="AB79" s="34"/>
      <c r="AC79" s="43"/>
      <c r="AD79" s="44"/>
      <c r="AE79" s="34"/>
      <c r="AF79" s="39"/>
      <c r="AG79" s="40"/>
      <c r="AH79" s="114"/>
      <c r="AI79" s="109">
        <v>46170</v>
      </c>
      <c r="AJ79" s="116"/>
      <c r="AK79" s="41"/>
      <c r="AL79" s="33"/>
      <c r="AM79" s="33"/>
      <c r="AN79" s="42"/>
      <c r="AO79" s="108">
        <v>601</v>
      </c>
      <c r="AP79" s="113">
        <v>46108</v>
      </c>
      <c r="AQ79" s="109">
        <v>46170</v>
      </c>
      <c r="AR79" s="110" t="s">
        <v>445</v>
      </c>
      <c r="AS79" s="110"/>
    </row>
    <row r="80" spans="1:45" x14ac:dyDescent="0.2">
      <c r="A80" s="60"/>
      <c r="B80" s="33">
        <v>54</v>
      </c>
      <c r="C80" s="33">
        <v>602</v>
      </c>
      <c r="D80" s="33" t="s">
        <v>890</v>
      </c>
      <c r="E80" s="34"/>
      <c r="F80" s="34" t="s">
        <v>339</v>
      </c>
      <c r="G80" s="34" t="s">
        <v>340</v>
      </c>
      <c r="H80" s="34"/>
      <c r="I80" s="34"/>
      <c r="J80" s="34"/>
      <c r="K80" s="34"/>
      <c r="L80" s="34"/>
      <c r="M80" s="34" t="s">
        <v>445</v>
      </c>
      <c r="N80" s="34"/>
      <c r="O80" s="34" t="s">
        <v>11</v>
      </c>
      <c r="P80" s="35">
        <v>216900</v>
      </c>
      <c r="Q80" s="35">
        <f>P80*$U$3</f>
        <v>4012650</v>
      </c>
      <c r="R80" s="35">
        <v>86767</v>
      </c>
      <c r="S80" s="35"/>
      <c r="T80" s="35">
        <f>P80-R80</f>
        <v>130133</v>
      </c>
      <c r="U80" s="35">
        <f>T80*U$3</f>
        <v>2407460.5</v>
      </c>
      <c r="V80" s="36"/>
      <c r="W80" s="37" t="s">
        <v>55</v>
      </c>
      <c r="X80" s="35" t="e">
        <f>VLOOKUP(C80,Banorte!F:K,6,FALSE)</f>
        <v>#N/A</v>
      </c>
      <c r="Y80" s="35"/>
      <c r="Z80" s="35" t="e">
        <f>X80-Y80</f>
        <v>#N/A</v>
      </c>
      <c r="AA80" s="38"/>
      <c r="AB80" s="34"/>
      <c r="AC80" s="43"/>
      <c r="AD80" s="44"/>
      <c r="AE80" s="33"/>
      <c r="AF80" s="39"/>
      <c r="AG80" s="40"/>
      <c r="AH80" s="114"/>
      <c r="AI80" s="109">
        <v>46170</v>
      </c>
      <c r="AJ80" s="116"/>
      <c r="AK80" s="41"/>
      <c r="AL80" s="33"/>
      <c r="AM80" s="33"/>
      <c r="AN80" s="42"/>
      <c r="AO80" s="108">
        <v>602</v>
      </c>
      <c r="AP80" s="113">
        <v>46108</v>
      </c>
      <c r="AQ80" s="109">
        <v>46170</v>
      </c>
      <c r="AR80" s="110" t="s">
        <v>445</v>
      </c>
      <c r="AS80" s="110"/>
    </row>
    <row r="81" spans="1:45" x14ac:dyDescent="0.2">
      <c r="A81" s="60"/>
      <c r="B81" s="33">
        <v>55</v>
      </c>
      <c r="C81" s="33">
        <v>603</v>
      </c>
      <c r="D81" s="33" t="s">
        <v>890</v>
      </c>
      <c r="E81" s="34"/>
      <c r="F81" s="34" t="s">
        <v>341</v>
      </c>
      <c r="G81" s="34" t="s">
        <v>342</v>
      </c>
      <c r="H81" s="34"/>
      <c r="I81" s="34"/>
      <c r="J81" s="34"/>
      <c r="K81" s="34"/>
      <c r="L81" s="34"/>
      <c r="M81" s="34" t="s">
        <v>445</v>
      </c>
      <c r="N81" s="34"/>
      <c r="O81" s="34" t="s">
        <v>11</v>
      </c>
      <c r="P81" s="35">
        <v>216900</v>
      </c>
      <c r="Q81" s="35">
        <f>P81*$U$3</f>
        <v>4012650</v>
      </c>
      <c r="R81" s="35">
        <v>75638</v>
      </c>
      <c r="S81" s="35"/>
      <c r="T81" s="35">
        <f>P81-R81</f>
        <v>141262</v>
      </c>
      <c r="U81" s="35">
        <f>T81*U$3</f>
        <v>2613347</v>
      </c>
      <c r="V81" s="36"/>
      <c r="W81" s="37" t="s">
        <v>55</v>
      </c>
      <c r="X81" s="35" t="e">
        <f>VLOOKUP(C81,Banorte!F:K,6,FALSE)</f>
        <v>#N/A</v>
      </c>
      <c r="Y81" s="35"/>
      <c r="Z81" s="35" t="e">
        <f>X81-Y81</f>
        <v>#N/A</v>
      </c>
      <c r="AA81" s="37"/>
      <c r="AB81" s="34"/>
      <c r="AC81" s="43"/>
      <c r="AD81" s="44"/>
      <c r="AE81" s="34"/>
      <c r="AF81" s="39"/>
      <c r="AG81" s="40"/>
      <c r="AH81" s="114"/>
      <c r="AI81" s="109">
        <v>46170</v>
      </c>
      <c r="AJ81" s="116"/>
      <c r="AK81" s="41"/>
      <c r="AL81" s="33"/>
      <c r="AM81" s="33"/>
      <c r="AN81" s="42"/>
      <c r="AO81" s="108">
        <v>603</v>
      </c>
      <c r="AP81" s="113">
        <v>46108</v>
      </c>
      <c r="AQ81" s="109">
        <v>46170</v>
      </c>
      <c r="AR81" s="110" t="s">
        <v>445</v>
      </c>
      <c r="AS81" s="110"/>
    </row>
    <row r="82" spans="1:45" x14ac:dyDescent="0.2">
      <c r="A82" s="60"/>
      <c r="B82" s="33">
        <v>56</v>
      </c>
      <c r="C82" s="33">
        <v>604</v>
      </c>
      <c r="D82" s="33" t="s">
        <v>890</v>
      </c>
      <c r="E82" s="34"/>
      <c r="F82" s="34" t="s">
        <v>85</v>
      </c>
      <c r="G82" s="34" t="s">
        <v>86</v>
      </c>
      <c r="H82" s="34"/>
      <c r="I82" s="34"/>
      <c r="J82" s="34"/>
      <c r="K82" s="34"/>
      <c r="L82" s="34"/>
      <c r="M82" s="34" t="s">
        <v>445</v>
      </c>
      <c r="N82" s="34"/>
      <c r="O82" s="34" t="s">
        <v>11</v>
      </c>
      <c r="P82" s="35">
        <v>374000</v>
      </c>
      <c r="Q82" s="35">
        <f>P82*$U$3</f>
        <v>6919000</v>
      </c>
      <c r="R82" s="35">
        <v>142095</v>
      </c>
      <c r="S82" s="35"/>
      <c r="T82" s="35">
        <f>P82-R82</f>
        <v>231905</v>
      </c>
      <c r="U82" s="35">
        <f>T82*U$3</f>
        <v>4290242.5</v>
      </c>
      <c r="V82" s="36"/>
      <c r="W82" s="37" t="s">
        <v>55</v>
      </c>
      <c r="X82" s="35" t="e">
        <f>VLOOKUP(C82,Banorte!F:K,6,FALSE)</f>
        <v>#N/A</v>
      </c>
      <c r="Y82" s="35"/>
      <c r="Z82" s="35" t="e">
        <f>X82-Y82</f>
        <v>#N/A</v>
      </c>
      <c r="AA82" s="38"/>
      <c r="AB82" s="34"/>
      <c r="AC82" s="43"/>
      <c r="AD82" s="44"/>
      <c r="AE82" s="33"/>
      <c r="AF82" s="39"/>
      <c r="AG82" s="40"/>
      <c r="AH82" s="114"/>
      <c r="AI82" s="109">
        <v>46170</v>
      </c>
      <c r="AJ82" s="116"/>
      <c r="AK82" s="41"/>
      <c r="AL82" s="33"/>
      <c r="AM82" s="33"/>
      <c r="AN82" s="42"/>
      <c r="AO82" s="108">
        <v>604</v>
      </c>
      <c r="AP82" s="113">
        <v>46108</v>
      </c>
      <c r="AQ82" s="109">
        <v>46170</v>
      </c>
      <c r="AR82" s="110" t="s">
        <v>445</v>
      </c>
      <c r="AS82" s="110"/>
    </row>
    <row r="83" spans="1:45" x14ac:dyDescent="0.2">
      <c r="A83" s="60"/>
      <c r="B83" s="33">
        <v>57</v>
      </c>
      <c r="C83" s="33">
        <v>605</v>
      </c>
      <c r="D83" s="33" t="s">
        <v>890</v>
      </c>
      <c r="E83" s="34"/>
      <c r="F83" s="34" t="s">
        <v>253</v>
      </c>
      <c r="G83" s="34" t="s">
        <v>254</v>
      </c>
      <c r="H83" s="34"/>
      <c r="I83" s="34"/>
      <c r="J83" s="34"/>
      <c r="K83" s="34"/>
      <c r="L83" s="34"/>
      <c r="M83" s="34" t="s">
        <v>445</v>
      </c>
      <c r="N83" s="34"/>
      <c r="O83" s="34" t="s">
        <v>11</v>
      </c>
      <c r="P83" s="35">
        <v>374000</v>
      </c>
      <c r="Q83" s="35">
        <f>P83*$U$3</f>
        <v>6919000</v>
      </c>
      <c r="R83" s="35">
        <v>255220</v>
      </c>
      <c r="S83" s="35"/>
      <c r="T83" s="35">
        <f>P83-R83</f>
        <v>118780</v>
      </c>
      <c r="U83" s="35">
        <f>T83*U$3</f>
        <v>2197430</v>
      </c>
      <c r="V83" s="36"/>
      <c r="W83" s="37" t="s">
        <v>55</v>
      </c>
      <c r="X83" s="35" t="e">
        <f>VLOOKUP(C83,Banorte!F:K,6,FALSE)</f>
        <v>#N/A</v>
      </c>
      <c r="Y83" s="35"/>
      <c r="Z83" s="35" t="e">
        <f>X83-Y83</f>
        <v>#N/A</v>
      </c>
      <c r="AA83" s="37"/>
      <c r="AB83" s="34"/>
      <c r="AC83" s="43"/>
      <c r="AD83" s="44"/>
      <c r="AE83" s="34"/>
      <c r="AF83" s="39"/>
      <c r="AG83" s="40"/>
      <c r="AH83" s="114"/>
      <c r="AI83" s="109">
        <v>46170</v>
      </c>
      <c r="AJ83" s="116"/>
      <c r="AK83" s="41"/>
      <c r="AL83" s="33"/>
      <c r="AM83" s="33"/>
      <c r="AN83" s="42"/>
      <c r="AO83" s="108">
        <v>605</v>
      </c>
      <c r="AP83" s="113">
        <v>46108</v>
      </c>
      <c r="AQ83" s="109">
        <v>46170</v>
      </c>
      <c r="AR83" s="110" t="s">
        <v>445</v>
      </c>
      <c r="AS83" s="110"/>
    </row>
    <row r="84" spans="1:45" x14ac:dyDescent="0.2">
      <c r="A84" s="60"/>
      <c r="B84" s="33">
        <v>58</v>
      </c>
      <c r="C84" s="33">
        <v>606</v>
      </c>
      <c r="D84" s="33" t="s">
        <v>890</v>
      </c>
      <c r="E84" s="34"/>
      <c r="F84" s="34" t="s">
        <v>343</v>
      </c>
      <c r="G84" s="34" t="s">
        <v>344</v>
      </c>
      <c r="H84" s="34"/>
      <c r="I84" s="34"/>
      <c r="J84" s="34"/>
      <c r="K84" s="34"/>
      <c r="L84" s="34"/>
      <c r="M84" s="34" t="s">
        <v>445</v>
      </c>
      <c r="N84" s="34"/>
      <c r="O84" s="34" t="s">
        <v>11</v>
      </c>
      <c r="P84" s="35">
        <v>216900</v>
      </c>
      <c r="Q84" s="35">
        <f>P84*$U$3</f>
        <v>4012650</v>
      </c>
      <c r="R84" s="35">
        <v>86767</v>
      </c>
      <c r="S84" s="35"/>
      <c r="T84" s="35">
        <f>P84-R84</f>
        <v>130133</v>
      </c>
      <c r="U84" s="35">
        <f>T84*U$3</f>
        <v>2407460.5</v>
      </c>
      <c r="V84" s="36"/>
      <c r="W84" s="37" t="s">
        <v>55</v>
      </c>
      <c r="X84" s="35" t="e">
        <f>VLOOKUP(C84,Banorte!F:K,6,FALSE)</f>
        <v>#N/A</v>
      </c>
      <c r="Y84" s="35"/>
      <c r="Z84" s="35" t="e">
        <f>X84-Y84</f>
        <v>#N/A</v>
      </c>
      <c r="AA84" s="37"/>
      <c r="AB84" s="34"/>
      <c r="AC84" s="43"/>
      <c r="AD84" s="44"/>
      <c r="AE84" s="34"/>
      <c r="AF84" s="39"/>
      <c r="AG84" s="40"/>
      <c r="AH84" s="114"/>
      <c r="AI84" s="109">
        <v>46170</v>
      </c>
      <c r="AJ84" s="116"/>
      <c r="AK84" s="41"/>
      <c r="AL84" s="33"/>
      <c r="AM84" s="33"/>
      <c r="AN84" s="42"/>
      <c r="AO84" s="108">
        <v>606</v>
      </c>
      <c r="AP84" s="113">
        <v>46108</v>
      </c>
      <c r="AQ84" s="109">
        <v>46170</v>
      </c>
      <c r="AR84" s="110" t="s">
        <v>445</v>
      </c>
      <c r="AS84" s="110"/>
    </row>
    <row r="85" spans="1:45" x14ac:dyDescent="0.2">
      <c r="A85" s="60"/>
      <c r="B85" s="33">
        <v>59</v>
      </c>
      <c r="C85" s="33">
        <v>607</v>
      </c>
      <c r="D85" s="33" t="s">
        <v>890</v>
      </c>
      <c r="E85" s="34"/>
      <c r="F85" s="34" t="s">
        <v>345</v>
      </c>
      <c r="G85" s="34" t="s">
        <v>346</v>
      </c>
      <c r="H85" s="34"/>
      <c r="I85" s="34"/>
      <c r="J85" s="34"/>
      <c r="K85" s="34"/>
      <c r="L85" s="34"/>
      <c r="M85" s="34" t="s">
        <v>53</v>
      </c>
      <c r="N85" s="34"/>
      <c r="O85" s="34" t="s">
        <v>11</v>
      </c>
      <c r="P85" s="35">
        <v>216900</v>
      </c>
      <c r="Q85" s="35">
        <f>P85*$U$3</f>
        <v>4012650</v>
      </c>
      <c r="R85" s="35">
        <v>109950</v>
      </c>
      <c r="S85" s="35"/>
      <c r="T85" s="35">
        <f>P85-R85</f>
        <v>106950</v>
      </c>
      <c r="U85" s="35">
        <f>T85*U$3</f>
        <v>1978575</v>
      </c>
      <c r="V85" s="36"/>
      <c r="W85" s="37"/>
      <c r="X85" s="35" t="e">
        <f>VLOOKUP(C85,Banorte!F:K,6,FALSE)</f>
        <v>#N/A</v>
      </c>
      <c r="Y85" s="35"/>
      <c r="Z85" s="35" t="e">
        <f>X85-Y85</f>
        <v>#N/A</v>
      </c>
      <c r="AA85" s="38"/>
      <c r="AB85" s="34"/>
      <c r="AC85" s="43"/>
      <c r="AD85" s="44"/>
      <c r="AE85" s="33"/>
      <c r="AF85" s="39"/>
      <c r="AG85" s="40"/>
      <c r="AH85" s="114"/>
      <c r="AI85" s="109">
        <v>46170</v>
      </c>
      <c r="AJ85" s="116"/>
      <c r="AK85" s="41"/>
      <c r="AL85" s="33"/>
      <c r="AM85" s="33"/>
      <c r="AN85" s="42"/>
      <c r="AO85" s="108">
        <v>607</v>
      </c>
      <c r="AP85" s="113">
        <v>46108</v>
      </c>
      <c r="AQ85" s="109">
        <v>46170</v>
      </c>
      <c r="AR85" s="110" t="s">
        <v>53</v>
      </c>
      <c r="AS85" s="110"/>
    </row>
    <row r="86" spans="1:45" x14ac:dyDescent="0.2">
      <c r="A86" s="60"/>
      <c r="B86" s="33">
        <v>60</v>
      </c>
      <c r="C86" s="33">
        <v>608</v>
      </c>
      <c r="D86" s="33" t="s">
        <v>890</v>
      </c>
      <c r="E86" s="34"/>
      <c r="F86" s="34" t="s">
        <v>347</v>
      </c>
      <c r="G86" s="34" t="s">
        <v>92</v>
      </c>
      <c r="H86" s="34"/>
      <c r="I86" s="34"/>
      <c r="J86" s="34"/>
      <c r="K86" s="34"/>
      <c r="L86" s="34"/>
      <c r="M86" s="34" t="s">
        <v>445</v>
      </c>
      <c r="N86" s="34"/>
      <c r="O86" s="34" t="s">
        <v>11</v>
      </c>
      <c r="P86" s="35">
        <v>216900</v>
      </c>
      <c r="Q86" s="35">
        <f>P86*$U$3</f>
        <v>4012650</v>
      </c>
      <c r="R86" s="35">
        <v>101749</v>
      </c>
      <c r="S86" s="35"/>
      <c r="T86" s="35">
        <f>P86-R86</f>
        <v>115151</v>
      </c>
      <c r="U86" s="35">
        <f>T86*U$3</f>
        <v>2130293.5</v>
      </c>
      <c r="V86" s="36"/>
      <c r="W86" s="37" t="s">
        <v>55</v>
      </c>
      <c r="X86" s="35" t="e">
        <f>VLOOKUP(C86,Banorte!F:K,6,FALSE)</f>
        <v>#N/A</v>
      </c>
      <c r="Y86" s="35"/>
      <c r="Z86" s="35" t="e">
        <f>X86-Y86</f>
        <v>#N/A</v>
      </c>
      <c r="AA86" s="37"/>
      <c r="AB86" s="34"/>
      <c r="AC86" s="43"/>
      <c r="AD86" s="44"/>
      <c r="AE86" s="34"/>
      <c r="AF86" s="39"/>
      <c r="AG86" s="40"/>
      <c r="AH86" s="114"/>
      <c r="AI86" s="109">
        <v>46170</v>
      </c>
      <c r="AJ86" s="116"/>
      <c r="AK86" s="41"/>
      <c r="AL86" s="33"/>
      <c r="AM86" s="33"/>
      <c r="AN86" s="42"/>
      <c r="AO86" s="108">
        <v>608</v>
      </c>
      <c r="AP86" s="113">
        <v>46108</v>
      </c>
      <c r="AQ86" s="109">
        <v>46170</v>
      </c>
      <c r="AR86" s="110" t="s">
        <v>445</v>
      </c>
      <c r="AS86" s="110"/>
    </row>
    <row r="87" spans="1:45" x14ac:dyDescent="0.2">
      <c r="A87" s="60"/>
      <c r="B87" s="33">
        <v>61</v>
      </c>
      <c r="C87" s="33">
        <v>609</v>
      </c>
      <c r="D87" s="33" t="s">
        <v>890</v>
      </c>
      <c r="E87" s="34"/>
      <c r="F87" s="34" t="s">
        <v>259</v>
      </c>
      <c r="G87" s="34" t="s">
        <v>260</v>
      </c>
      <c r="H87" s="34"/>
      <c r="I87" s="34"/>
      <c r="J87" s="34"/>
      <c r="K87" s="34"/>
      <c r="L87" s="34"/>
      <c r="M87" s="34" t="s">
        <v>445</v>
      </c>
      <c r="N87" s="34"/>
      <c r="O87" s="34" t="s">
        <v>11</v>
      </c>
      <c r="P87" s="35">
        <v>216900</v>
      </c>
      <c r="Q87" s="35">
        <f>P87*$U$3</f>
        <v>4012650</v>
      </c>
      <c r="R87" s="35">
        <v>86767</v>
      </c>
      <c r="S87" s="35"/>
      <c r="T87" s="35">
        <f>P87-R87</f>
        <v>130133</v>
      </c>
      <c r="U87" s="35">
        <f>T87*U$3</f>
        <v>2407460.5</v>
      </c>
      <c r="V87" s="36"/>
      <c r="W87" s="37" t="s">
        <v>55</v>
      </c>
      <c r="X87" s="35" t="e">
        <f>VLOOKUP(C87,Banorte!F:K,6,FALSE)</f>
        <v>#N/A</v>
      </c>
      <c r="Y87" s="35"/>
      <c r="Z87" s="35" t="e">
        <f>X87-Y87</f>
        <v>#N/A</v>
      </c>
      <c r="AA87" s="37"/>
      <c r="AB87" s="34"/>
      <c r="AC87" s="43"/>
      <c r="AD87" s="44"/>
      <c r="AE87" s="34"/>
      <c r="AF87" s="39"/>
      <c r="AG87" s="40"/>
      <c r="AH87" s="114"/>
      <c r="AI87" s="109">
        <v>46170</v>
      </c>
      <c r="AJ87" s="116"/>
      <c r="AK87" s="41"/>
      <c r="AL87" s="33"/>
      <c r="AM87" s="33"/>
      <c r="AN87" s="42"/>
      <c r="AO87" s="108">
        <v>609</v>
      </c>
      <c r="AP87" s="113">
        <v>46108</v>
      </c>
      <c r="AQ87" s="109">
        <v>46170</v>
      </c>
      <c r="AR87" s="110" t="s">
        <v>445</v>
      </c>
      <c r="AS87" s="110"/>
    </row>
    <row r="88" spans="1:45" x14ac:dyDescent="0.2">
      <c r="A88" s="60"/>
      <c r="B88" s="33">
        <v>62</v>
      </c>
      <c r="C88" s="33">
        <v>610</v>
      </c>
      <c r="D88" s="33" t="s">
        <v>890</v>
      </c>
      <c r="E88" s="34"/>
      <c r="F88" s="34" t="s">
        <v>348</v>
      </c>
      <c r="G88" s="34" t="s">
        <v>349</v>
      </c>
      <c r="H88" s="34"/>
      <c r="I88" s="34"/>
      <c r="J88" s="34"/>
      <c r="K88" s="34"/>
      <c r="L88" s="34"/>
      <c r="M88" s="34" t="s">
        <v>445</v>
      </c>
      <c r="N88" s="34"/>
      <c r="O88" s="34" t="s">
        <v>11</v>
      </c>
      <c r="P88" s="35">
        <v>216900</v>
      </c>
      <c r="Q88" s="35">
        <f>P88*$U$3</f>
        <v>4012650</v>
      </c>
      <c r="R88" s="35">
        <v>86767</v>
      </c>
      <c r="S88" s="35"/>
      <c r="T88" s="35">
        <f>P88-R88</f>
        <v>130133</v>
      </c>
      <c r="U88" s="35">
        <f>T88*U$3</f>
        <v>2407460.5</v>
      </c>
      <c r="V88" s="36"/>
      <c r="W88" s="37" t="s">
        <v>55</v>
      </c>
      <c r="X88" s="35" t="e">
        <f>VLOOKUP(C88,Banorte!F:K,6,FALSE)</f>
        <v>#N/A</v>
      </c>
      <c r="Y88" s="35"/>
      <c r="Z88" s="35" t="e">
        <f>X88-Y88</f>
        <v>#N/A</v>
      </c>
      <c r="AA88" s="38"/>
      <c r="AB88" s="34"/>
      <c r="AC88" s="43"/>
      <c r="AD88" s="44"/>
      <c r="AE88" s="33"/>
      <c r="AF88" s="39"/>
      <c r="AG88" s="40"/>
      <c r="AH88" s="114"/>
      <c r="AI88" s="109">
        <v>46170</v>
      </c>
      <c r="AJ88" s="116"/>
      <c r="AK88" s="41"/>
      <c r="AL88" s="33"/>
      <c r="AM88" s="33"/>
      <c r="AN88" s="42"/>
      <c r="AO88" s="108">
        <v>610</v>
      </c>
      <c r="AP88" s="113">
        <v>46108</v>
      </c>
      <c r="AQ88" s="109">
        <v>46170</v>
      </c>
      <c r="AR88" s="110" t="s">
        <v>445</v>
      </c>
      <c r="AS88" s="110"/>
    </row>
    <row r="89" spans="1:45" x14ac:dyDescent="0.2">
      <c r="A89" s="60"/>
      <c r="B89" s="33">
        <v>63</v>
      </c>
      <c r="C89" s="33">
        <v>611</v>
      </c>
      <c r="D89" s="33" t="s">
        <v>890</v>
      </c>
      <c r="E89" s="34"/>
      <c r="F89" s="34" t="s">
        <v>350</v>
      </c>
      <c r="G89" s="34" t="s">
        <v>351</v>
      </c>
      <c r="H89" s="34"/>
      <c r="I89" s="34"/>
      <c r="J89" s="34"/>
      <c r="K89" s="34"/>
      <c r="L89" s="34"/>
      <c r="M89" s="34" t="s">
        <v>53</v>
      </c>
      <c r="N89" s="34"/>
      <c r="O89" s="34" t="s">
        <v>11</v>
      </c>
      <c r="P89" s="35">
        <v>216900</v>
      </c>
      <c r="Q89" s="35">
        <f>P89*$U$3</f>
        <v>4012650</v>
      </c>
      <c r="R89" s="35">
        <v>86767</v>
      </c>
      <c r="S89" s="35"/>
      <c r="T89" s="35">
        <f>P89-R89</f>
        <v>130133</v>
      </c>
      <c r="U89" s="35">
        <f>T89*U$3</f>
        <v>2407460.5</v>
      </c>
      <c r="V89" s="36"/>
      <c r="W89" s="37"/>
      <c r="X89" s="35" t="e">
        <f>VLOOKUP(C89,Banorte!F:K,6,FALSE)</f>
        <v>#N/A</v>
      </c>
      <c r="Y89" s="35"/>
      <c r="Z89" s="35" t="e">
        <f>X89-Y89</f>
        <v>#N/A</v>
      </c>
      <c r="AA89" s="37"/>
      <c r="AB89" s="34"/>
      <c r="AC89" s="43"/>
      <c r="AD89" s="44"/>
      <c r="AE89" s="34"/>
      <c r="AF89" s="39"/>
      <c r="AG89" s="40"/>
      <c r="AH89" s="114"/>
      <c r="AI89" s="109">
        <v>46170</v>
      </c>
      <c r="AJ89" s="116"/>
      <c r="AK89" s="41"/>
      <c r="AL89" s="33"/>
      <c r="AM89" s="33"/>
      <c r="AN89" s="42"/>
      <c r="AO89" s="108">
        <v>611</v>
      </c>
      <c r="AP89" s="113">
        <v>46108</v>
      </c>
      <c r="AQ89" s="109">
        <v>46170</v>
      </c>
      <c r="AR89" s="110" t="s">
        <v>53</v>
      </c>
      <c r="AS89" s="110"/>
    </row>
    <row r="90" spans="1:45" x14ac:dyDescent="0.2">
      <c r="A90" s="60"/>
      <c r="B90" s="33">
        <v>64</v>
      </c>
      <c r="C90" s="33">
        <v>612</v>
      </c>
      <c r="D90" s="33" t="s">
        <v>890</v>
      </c>
      <c r="E90" s="34"/>
      <c r="F90" s="34" t="s">
        <v>352</v>
      </c>
      <c r="G90" s="34" t="s">
        <v>88</v>
      </c>
      <c r="H90" s="34"/>
      <c r="I90" s="34"/>
      <c r="J90" s="34"/>
      <c r="K90" s="34"/>
      <c r="L90" s="34"/>
      <c r="M90" s="34" t="s">
        <v>445</v>
      </c>
      <c r="N90" s="34"/>
      <c r="O90" s="34" t="s">
        <v>11</v>
      </c>
      <c r="P90" s="35">
        <v>216900</v>
      </c>
      <c r="Q90" s="35">
        <f>P90*$U$3</f>
        <v>4012650</v>
      </c>
      <c r="R90" s="35">
        <v>86767</v>
      </c>
      <c r="S90" s="35"/>
      <c r="T90" s="35">
        <f>P90-R90</f>
        <v>130133</v>
      </c>
      <c r="U90" s="35">
        <f>T90*U$3</f>
        <v>2407460.5</v>
      </c>
      <c r="V90" s="36"/>
      <c r="W90" s="37" t="s">
        <v>55</v>
      </c>
      <c r="X90" s="35" t="e">
        <f>VLOOKUP(C90,Banorte!F:K,6,FALSE)</f>
        <v>#N/A</v>
      </c>
      <c r="Y90" s="35"/>
      <c r="Z90" s="35" t="e">
        <f>X90-Y90</f>
        <v>#N/A</v>
      </c>
      <c r="AA90" s="37"/>
      <c r="AB90" s="34"/>
      <c r="AC90" s="43"/>
      <c r="AD90" s="44"/>
      <c r="AE90" s="34"/>
      <c r="AF90" s="39"/>
      <c r="AG90" s="40"/>
      <c r="AH90" s="114"/>
      <c r="AI90" s="109">
        <v>46170</v>
      </c>
      <c r="AJ90" s="116"/>
      <c r="AK90" s="41"/>
      <c r="AL90" s="33"/>
      <c r="AM90" s="33"/>
      <c r="AN90" s="42"/>
      <c r="AO90" s="108">
        <v>612</v>
      </c>
      <c r="AP90" s="113">
        <v>46108</v>
      </c>
      <c r="AQ90" s="109">
        <v>46170</v>
      </c>
      <c r="AR90" s="110" t="s">
        <v>445</v>
      </c>
      <c r="AS90" s="110"/>
    </row>
    <row r="91" spans="1:45" x14ac:dyDescent="0.2">
      <c r="A91" s="60"/>
      <c r="B91" s="33">
        <v>174</v>
      </c>
      <c r="C91" s="34">
        <v>613</v>
      </c>
      <c r="D91" s="34" t="s">
        <v>891</v>
      </c>
      <c r="E91" s="34"/>
      <c r="F91" s="34" t="s">
        <v>518</v>
      </c>
      <c r="G91" s="34" t="s">
        <v>519</v>
      </c>
      <c r="H91" s="34" t="s">
        <v>520</v>
      </c>
      <c r="I91" s="34"/>
      <c r="J91" s="34"/>
      <c r="K91" s="34"/>
      <c r="L91" s="34"/>
      <c r="M91" s="34" t="s">
        <v>58</v>
      </c>
      <c r="N91" s="34"/>
      <c r="O91" s="34" t="s">
        <v>11</v>
      </c>
      <c r="P91" s="35"/>
      <c r="Q91" s="35">
        <v>9006200</v>
      </c>
      <c r="R91" s="35"/>
      <c r="S91" s="35">
        <v>2701860</v>
      </c>
      <c r="T91" s="35"/>
      <c r="U91" s="35">
        <f>Q91-S91</f>
        <v>6304340</v>
      </c>
      <c r="V91" s="36"/>
      <c r="W91" s="37"/>
      <c r="X91" s="35" t="e">
        <f>VLOOKUP(C91,Banorte!F:K,6,FALSE)</f>
        <v>#N/A</v>
      </c>
      <c r="Y91" s="35"/>
      <c r="Z91" s="35" t="e">
        <f>X91-Y91</f>
        <v>#N/A</v>
      </c>
      <c r="AA91" s="37"/>
      <c r="AB91" s="34"/>
      <c r="AC91" s="43"/>
      <c r="AD91" s="44"/>
      <c r="AE91" s="34"/>
      <c r="AF91" s="39"/>
      <c r="AG91" s="40"/>
      <c r="AH91" s="114"/>
      <c r="AI91" s="109">
        <v>46170</v>
      </c>
      <c r="AJ91" s="116"/>
      <c r="AK91" s="41"/>
      <c r="AL91" s="33"/>
      <c r="AM91" s="33"/>
      <c r="AN91" s="42"/>
      <c r="AO91" s="108">
        <v>613</v>
      </c>
      <c r="AP91" s="113">
        <v>46108</v>
      </c>
      <c r="AQ91" s="109">
        <v>46170</v>
      </c>
      <c r="AR91" s="110" t="s">
        <v>58</v>
      </c>
      <c r="AS91" s="110"/>
    </row>
    <row r="92" spans="1:45" x14ac:dyDescent="0.2">
      <c r="A92" s="60"/>
      <c r="B92" s="33">
        <v>65</v>
      </c>
      <c r="C92" s="33">
        <v>614</v>
      </c>
      <c r="D92" s="33" t="s">
        <v>890</v>
      </c>
      <c r="E92" s="34"/>
      <c r="F92" s="34" t="s">
        <v>353</v>
      </c>
      <c r="G92" s="34" t="s">
        <v>354</v>
      </c>
      <c r="H92" s="34"/>
      <c r="I92" s="34"/>
      <c r="J92" s="34"/>
      <c r="K92" s="34"/>
      <c r="L92" s="34"/>
      <c r="M92" s="34" t="s">
        <v>445</v>
      </c>
      <c r="N92" s="34"/>
      <c r="O92" s="34" t="s">
        <v>11</v>
      </c>
      <c r="P92" s="35">
        <v>374000</v>
      </c>
      <c r="Q92" s="35">
        <f>P92*$U$3</f>
        <v>6919000</v>
      </c>
      <c r="R92" s="35">
        <v>133020</v>
      </c>
      <c r="S92" s="35"/>
      <c r="T92" s="35">
        <f>P92-R92</f>
        <v>240980</v>
      </c>
      <c r="U92" s="35">
        <f>T92*U$3</f>
        <v>4458130</v>
      </c>
      <c r="V92" s="36"/>
      <c r="W92" s="37" t="s">
        <v>55</v>
      </c>
      <c r="X92" s="35" t="e">
        <f>VLOOKUP(C92,Banorte!F:K,6,FALSE)</f>
        <v>#N/A</v>
      </c>
      <c r="Y92" s="35"/>
      <c r="Z92" s="35" t="e">
        <f>X92-Y92</f>
        <v>#N/A</v>
      </c>
      <c r="AA92" s="38"/>
      <c r="AB92" s="34"/>
      <c r="AC92" s="43"/>
      <c r="AD92" s="44"/>
      <c r="AE92" s="33"/>
      <c r="AF92" s="39"/>
      <c r="AG92" s="40"/>
      <c r="AH92" s="114"/>
      <c r="AI92" s="109">
        <v>46170</v>
      </c>
      <c r="AJ92" s="116"/>
      <c r="AK92" s="41"/>
      <c r="AL92" s="33"/>
      <c r="AM92" s="33"/>
      <c r="AN92" s="42"/>
      <c r="AO92" s="108">
        <v>614</v>
      </c>
      <c r="AP92" s="113">
        <v>46108</v>
      </c>
      <c r="AQ92" s="109">
        <v>46170</v>
      </c>
      <c r="AR92" s="110" t="s">
        <v>445</v>
      </c>
      <c r="AS92" s="110"/>
    </row>
    <row r="93" spans="1:45" x14ac:dyDescent="0.2">
      <c r="A93" s="60"/>
      <c r="B93" s="33">
        <v>66</v>
      </c>
      <c r="C93" s="33">
        <v>615</v>
      </c>
      <c r="D93" s="33" t="s">
        <v>890</v>
      </c>
      <c r="E93" s="34"/>
      <c r="F93" s="34" t="s">
        <v>89</v>
      </c>
      <c r="G93" s="34" t="s">
        <v>90</v>
      </c>
      <c r="H93" s="34"/>
      <c r="I93" s="34"/>
      <c r="J93" s="34"/>
      <c r="K93" s="34"/>
      <c r="L93" s="34"/>
      <c r="M93" s="34" t="s">
        <v>445</v>
      </c>
      <c r="N93" s="34"/>
      <c r="O93" s="34" t="s">
        <v>11</v>
      </c>
      <c r="P93" s="35">
        <v>216900</v>
      </c>
      <c r="Q93" s="35">
        <f>P93*$U$3</f>
        <v>4012650</v>
      </c>
      <c r="R93" s="35">
        <v>87448</v>
      </c>
      <c r="S93" s="35"/>
      <c r="T93" s="35">
        <f>P93-R93</f>
        <v>129452</v>
      </c>
      <c r="U93" s="35">
        <f>T93*U$3</f>
        <v>2394862</v>
      </c>
      <c r="V93" s="36"/>
      <c r="W93" s="37" t="s">
        <v>55</v>
      </c>
      <c r="X93" s="35" t="e">
        <f>VLOOKUP(C93,Banorte!F:K,6,FALSE)</f>
        <v>#N/A</v>
      </c>
      <c r="Y93" s="35"/>
      <c r="Z93" s="35" t="e">
        <f>X93-Y93</f>
        <v>#N/A</v>
      </c>
      <c r="AA93" s="37"/>
      <c r="AB93" s="34"/>
      <c r="AC93" s="43"/>
      <c r="AD93" s="44"/>
      <c r="AE93" s="34"/>
      <c r="AF93" s="39"/>
      <c r="AG93" s="40"/>
      <c r="AH93" s="114"/>
      <c r="AI93" s="109">
        <v>46170</v>
      </c>
      <c r="AJ93" s="116"/>
      <c r="AK93" s="41"/>
      <c r="AL93" s="33"/>
      <c r="AM93" s="33"/>
      <c r="AN93" s="42"/>
      <c r="AO93" s="108">
        <v>615</v>
      </c>
      <c r="AP93" s="113">
        <v>46108</v>
      </c>
      <c r="AQ93" s="109">
        <v>46170</v>
      </c>
      <c r="AR93" s="110" t="s">
        <v>445</v>
      </c>
      <c r="AS93" s="110"/>
    </row>
    <row r="94" spans="1:45" x14ac:dyDescent="0.2">
      <c r="A94" s="60"/>
      <c r="B94" s="33">
        <v>67</v>
      </c>
      <c r="C94" s="33">
        <v>616</v>
      </c>
      <c r="D94" s="33" t="s">
        <v>890</v>
      </c>
      <c r="E94" s="34"/>
      <c r="F94" s="34" t="s">
        <v>355</v>
      </c>
      <c r="G94" s="34" t="s">
        <v>356</v>
      </c>
      <c r="H94" s="34"/>
      <c r="I94" s="34"/>
      <c r="J94" s="34"/>
      <c r="K94" s="34"/>
      <c r="L94" s="34"/>
      <c r="M94" s="34" t="s">
        <v>445</v>
      </c>
      <c r="N94" s="34"/>
      <c r="O94" s="34" t="s">
        <v>11</v>
      </c>
      <c r="P94" s="35">
        <v>216900</v>
      </c>
      <c r="Q94" s="35">
        <f>P94*$U$3</f>
        <v>4012650</v>
      </c>
      <c r="R94" s="35">
        <v>88450</v>
      </c>
      <c r="S94" s="35"/>
      <c r="T94" s="35">
        <f>P94-R94</f>
        <v>128450</v>
      </c>
      <c r="U94" s="35">
        <f>T94*U$3</f>
        <v>2376325</v>
      </c>
      <c r="V94" s="36"/>
      <c r="W94" s="37" t="s">
        <v>55</v>
      </c>
      <c r="X94" s="35" t="e">
        <f>VLOOKUP(C94,Banorte!F:K,6,FALSE)</f>
        <v>#N/A</v>
      </c>
      <c r="Y94" s="35"/>
      <c r="Z94" s="35" t="e">
        <f>X94-Y94</f>
        <v>#N/A</v>
      </c>
      <c r="AA94" s="38"/>
      <c r="AB94" s="34"/>
      <c r="AC94" s="43"/>
      <c r="AD94" s="44"/>
      <c r="AE94" s="33"/>
      <c r="AF94" s="39"/>
      <c r="AG94" s="40"/>
      <c r="AH94" s="114"/>
      <c r="AI94" s="109">
        <v>46170</v>
      </c>
      <c r="AJ94" s="116"/>
      <c r="AK94" s="41"/>
      <c r="AL94" s="33"/>
      <c r="AM94" s="33"/>
      <c r="AN94" s="42"/>
      <c r="AO94" s="108">
        <v>616</v>
      </c>
      <c r="AP94" s="113">
        <v>46108</v>
      </c>
      <c r="AQ94" s="109">
        <v>46170</v>
      </c>
      <c r="AR94" s="110" t="s">
        <v>445</v>
      </c>
      <c r="AS94" s="110"/>
    </row>
    <row r="95" spans="1:45" x14ac:dyDescent="0.2">
      <c r="A95" s="60"/>
      <c r="B95" s="33">
        <v>68</v>
      </c>
      <c r="C95" s="33">
        <v>617</v>
      </c>
      <c r="D95" s="33" t="s">
        <v>890</v>
      </c>
      <c r="E95" s="34"/>
      <c r="F95" s="34" t="s">
        <v>357</v>
      </c>
      <c r="G95" s="34" t="s">
        <v>358</v>
      </c>
      <c r="H95" s="34"/>
      <c r="I95" s="34"/>
      <c r="J95" s="34"/>
      <c r="K95" s="34"/>
      <c r="L95" s="34"/>
      <c r="M95" s="34" t="s">
        <v>445</v>
      </c>
      <c r="N95" s="34"/>
      <c r="O95" s="34" t="s">
        <v>11</v>
      </c>
      <c r="P95" s="35">
        <v>216900</v>
      </c>
      <c r="Q95" s="35">
        <f>P95*$U$3</f>
        <v>4012650</v>
      </c>
      <c r="R95" s="35">
        <v>216400</v>
      </c>
      <c r="S95" s="35"/>
      <c r="T95" s="35">
        <f>P95-R95</f>
        <v>500</v>
      </c>
      <c r="U95" s="35">
        <f>T95*U$3</f>
        <v>9250</v>
      </c>
      <c r="V95" s="36"/>
      <c r="W95" s="37" t="s">
        <v>55</v>
      </c>
      <c r="X95" s="35" t="e">
        <f>VLOOKUP(C95,Banorte!F:K,6,FALSE)</f>
        <v>#N/A</v>
      </c>
      <c r="Y95" s="35"/>
      <c r="Z95" s="35" t="e">
        <f>X95-Y95</f>
        <v>#N/A</v>
      </c>
      <c r="AA95" s="37"/>
      <c r="AB95" s="34"/>
      <c r="AC95" s="43"/>
      <c r="AD95" s="44"/>
      <c r="AE95" s="34"/>
      <c r="AF95" s="39"/>
      <c r="AG95" s="40"/>
      <c r="AH95" s="114"/>
      <c r="AI95" s="109">
        <v>46170</v>
      </c>
      <c r="AJ95" s="116"/>
      <c r="AK95" s="41"/>
      <c r="AL95" s="33"/>
      <c r="AM95" s="33"/>
      <c r="AN95" s="42"/>
      <c r="AO95" s="112">
        <v>617</v>
      </c>
      <c r="AP95" s="113">
        <v>46108</v>
      </c>
      <c r="AQ95" s="109">
        <v>46170</v>
      </c>
      <c r="AR95" s="110" t="s">
        <v>445</v>
      </c>
      <c r="AS95" s="110" t="s">
        <v>34</v>
      </c>
    </row>
    <row r="96" spans="1:45" x14ac:dyDescent="0.2">
      <c r="A96" s="60"/>
      <c r="B96" s="33">
        <v>69</v>
      </c>
      <c r="C96" s="33">
        <v>701</v>
      </c>
      <c r="D96" s="33" t="s">
        <v>890</v>
      </c>
      <c r="E96" s="34"/>
      <c r="F96" s="34" t="s">
        <v>359</v>
      </c>
      <c r="G96" s="34" t="s">
        <v>54</v>
      </c>
      <c r="H96" s="34"/>
      <c r="I96" s="34"/>
      <c r="J96" s="34"/>
      <c r="K96" s="34"/>
      <c r="L96" s="34"/>
      <c r="M96" s="34" t="s">
        <v>445</v>
      </c>
      <c r="N96" s="34"/>
      <c r="O96" s="34" t="s">
        <v>11</v>
      </c>
      <c r="P96" s="35">
        <v>223900</v>
      </c>
      <c r="Q96" s="35">
        <f>P96*$U$3</f>
        <v>4142150</v>
      </c>
      <c r="R96" s="35">
        <v>111950</v>
      </c>
      <c r="S96" s="35"/>
      <c r="T96" s="35">
        <f>P96-R96</f>
        <v>111950</v>
      </c>
      <c r="U96" s="35">
        <f>T96*U$3</f>
        <v>2071075</v>
      </c>
      <c r="V96" s="36"/>
      <c r="W96" s="37" t="s">
        <v>55</v>
      </c>
      <c r="X96" s="35" t="e">
        <f>VLOOKUP(C96,Banorte!F:K,6,FALSE)</f>
        <v>#N/A</v>
      </c>
      <c r="Y96" s="35"/>
      <c r="Z96" s="35" t="e">
        <f>X96-Y96</f>
        <v>#N/A</v>
      </c>
      <c r="AA96" s="37"/>
      <c r="AB96" s="34"/>
      <c r="AC96" s="43"/>
      <c r="AD96" s="44"/>
      <c r="AE96" s="34"/>
      <c r="AF96" s="39"/>
      <c r="AG96" s="40"/>
      <c r="AH96" s="114"/>
      <c r="AI96" s="109">
        <v>46211</v>
      </c>
      <c r="AJ96" s="116"/>
      <c r="AK96" s="41"/>
      <c r="AL96" s="33"/>
      <c r="AM96" s="33"/>
      <c r="AN96" s="42"/>
      <c r="AO96" s="108">
        <v>701</v>
      </c>
      <c r="AP96" s="113">
        <v>46183</v>
      </c>
      <c r="AQ96" s="109">
        <v>46211</v>
      </c>
      <c r="AR96" s="110" t="s">
        <v>445</v>
      </c>
      <c r="AS96" s="110"/>
    </row>
    <row r="97" spans="1:45" x14ac:dyDescent="0.2">
      <c r="A97" s="60"/>
      <c r="B97" s="33">
        <v>70</v>
      </c>
      <c r="C97" s="33">
        <v>702</v>
      </c>
      <c r="D97" s="33" t="s">
        <v>890</v>
      </c>
      <c r="E97" s="34"/>
      <c r="F97" s="34" t="s">
        <v>360</v>
      </c>
      <c r="G97" s="34" t="s">
        <v>361</v>
      </c>
      <c r="H97" s="34"/>
      <c r="I97" s="34"/>
      <c r="J97" s="34"/>
      <c r="K97" s="34"/>
      <c r="L97" s="34"/>
      <c r="M97" s="34" t="s">
        <v>445</v>
      </c>
      <c r="N97" s="34"/>
      <c r="O97" s="34" t="s">
        <v>11</v>
      </c>
      <c r="P97" s="35">
        <v>223900</v>
      </c>
      <c r="Q97" s="35">
        <f>P97*$U$3</f>
        <v>4142150</v>
      </c>
      <c r="R97" s="35">
        <v>97110</v>
      </c>
      <c r="S97" s="35"/>
      <c r="T97" s="35">
        <f>P97-R97</f>
        <v>126790</v>
      </c>
      <c r="U97" s="35">
        <f>T97*U$3</f>
        <v>2345615</v>
      </c>
      <c r="V97" s="36"/>
      <c r="W97" s="37" t="s">
        <v>55</v>
      </c>
      <c r="X97" s="35" t="e">
        <f>VLOOKUP(C97,Banorte!F:K,6,FALSE)</f>
        <v>#N/A</v>
      </c>
      <c r="Y97" s="35"/>
      <c r="Z97" s="35" t="e">
        <f>X97-Y97</f>
        <v>#N/A</v>
      </c>
      <c r="AA97" s="38"/>
      <c r="AB97" s="34"/>
      <c r="AC97" s="43"/>
      <c r="AD97" s="44"/>
      <c r="AE97" s="33"/>
      <c r="AF97" s="39"/>
      <c r="AG97" s="40"/>
      <c r="AH97" s="114"/>
      <c r="AI97" s="109">
        <v>46211</v>
      </c>
      <c r="AJ97" s="116"/>
      <c r="AK97" s="41"/>
      <c r="AL97" s="33"/>
      <c r="AM97" s="33"/>
      <c r="AN97" s="42"/>
      <c r="AO97" s="108">
        <v>702</v>
      </c>
      <c r="AP97" s="113">
        <v>46183</v>
      </c>
      <c r="AQ97" s="109">
        <v>46211</v>
      </c>
      <c r="AR97" s="110" t="s">
        <v>445</v>
      </c>
      <c r="AS97" s="110"/>
    </row>
    <row r="98" spans="1:45" x14ac:dyDescent="0.2">
      <c r="A98" s="60"/>
      <c r="B98" s="33">
        <v>71</v>
      </c>
      <c r="C98" s="33">
        <v>703</v>
      </c>
      <c r="D98" s="33" t="s">
        <v>890</v>
      </c>
      <c r="E98" s="34"/>
      <c r="F98" s="34" t="s">
        <v>362</v>
      </c>
      <c r="G98" s="34" t="s">
        <v>363</v>
      </c>
      <c r="H98" s="34"/>
      <c r="I98" s="34"/>
      <c r="J98" s="34"/>
      <c r="K98" s="34"/>
      <c r="L98" s="34"/>
      <c r="M98" s="34" t="s">
        <v>445</v>
      </c>
      <c r="N98" s="34"/>
      <c r="O98" s="34" t="s">
        <v>11</v>
      </c>
      <c r="P98" s="35">
        <v>223900</v>
      </c>
      <c r="Q98" s="35">
        <f>P98*$U$3</f>
        <v>4142150</v>
      </c>
      <c r="R98" s="35">
        <v>112050</v>
      </c>
      <c r="S98" s="35"/>
      <c r="T98" s="35">
        <f>P98-R98</f>
        <v>111850</v>
      </c>
      <c r="U98" s="35">
        <f>T98*U$3</f>
        <v>2069225</v>
      </c>
      <c r="V98" s="36"/>
      <c r="W98" s="37" t="s">
        <v>55</v>
      </c>
      <c r="X98" s="35" t="e">
        <f>VLOOKUP(C98,Banorte!F:K,6,FALSE)</f>
        <v>#N/A</v>
      </c>
      <c r="Y98" s="35"/>
      <c r="Z98" s="35" t="e">
        <f>X98-Y98</f>
        <v>#N/A</v>
      </c>
      <c r="AA98" s="37"/>
      <c r="AB98" s="34"/>
      <c r="AC98" s="43"/>
      <c r="AD98" s="44"/>
      <c r="AE98" s="34"/>
      <c r="AF98" s="39"/>
      <c r="AG98" s="40"/>
      <c r="AH98" s="114"/>
      <c r="AI98" s="109">
        <v>46211</v>
      </c>
      <c r="AJ98" s="116"/>
      <c r="AK98" s="41"/>
      <c r="AL98" s="33"/>
      <c r="AM98" s="33"/>
      <c r="AN98" s="42"/>
      <c r="AO98" s="108">
        <v>703</v>
      </c>
      <c r="AP98" s="113">
        <v>46183</v>
      </c>
      <c r="AQ98" s="109">
        <v>46211</v>
      </c>
      <c r="AR98" s="110" t="s">
        <v>445</v>
      </c>
      <c r="AS98" s="110"/>
    </row>
    <row r="99" spans="1:45" x14ac:dyDescent="0.2">
      <c r="A99" s="60"/>
      <c r="B99" s="33">
        <v>175</v>
      </c>
      <c r="C99" s="34">
        <v>704</v>
      </c>
      <c r="D99" s="34" t="s">
        <v>891</v>
      </c>
      <c r="E99" s="34"/>
      <c r="F99" s="34" t="s">
        <v>619</v>
      </c>
      <c r="G99" s="34" t="s">
        <v>620</v>
      </c>
      <c r="H99" s="34"/>
      <c r="I99" s="34"/>
      <c r="J99" s="34"/>
      <c r="K99" s="34"/>
      <c r="L99" s="34"/>
      <c r="M99" s="34" t="s">
        <v>58</v>
      </c>
      <c r="N99" s="34"/>
      <c r="O99" s="34" t="s">
        <v>11</v>
      </c>
      <c r="P99" s="35"/>
      <c r="Q99" s="35">
        <v>10700000</v>
      </c>
      <c r="R99" s="35"/>
      <c r="S99" s="35">
        <v>8586216</v>
      </c>
      <c r="T99" s="35"/>
      <c r="U99" s="35">
        <f>Q99-S99</f>
        <v>2113784</v>
      </c>
      <c r="V99" s="36"/>
      <c r="W99" s="37"/>
      <c r="X99" s="35" t="e">
        <f>VLOOKUP(C99,Banorte!F:K,6,FALSE)</f>
        <v>#N/A</v>
      </c>
      <c r="Y99" s="35"/>
      <c r="Z99" s="35" t="e">
        <f>X99-Y99</f>
        <v>#N/A</v>
      </c>
      <c r="AA99" s="38"/>
      <c r="AB99" s="34"/>
      <c r="AC99" s="43"/>
      <c r="AD99" s="44"/>
      <c r="AE99" s="33"/>
      <c r="AF99" s="39"/>
      <c r="AG99" s="40"/>
      <c r="AH99" s="114"/>
      <c r="AI99" s="109">
        <v>46211</v>
      </c>
      <c r="AJ99" s="116"/>
      <c r="AK99" s="41"/>
      <c r="AL99" s="33"/>
      <c r="AM99" s="33"/>
      <c r="AN99" s="42"/>
      <c r="AO99" s="108">
        <v>704</v>
      </c>
      <c r="AP99" s="113">
        <v>46183</v>
      </c>
      <c r="AQ99" s="109">
        <v>46211</v>
      </c>
      <c r="AR99" s="110" t="s">
        <v>58</v>
      </c>
      <c r="AS99" s="110"/>
    </row>
    <row r="100" spans="1:45" x14ac:dyDescent="0.2">
      <c r="A100" s="60"/>
      <c r="B100" s="33">
        <v>176</v>
      </c>
      <c r="C100" s="34">
        <v>705</v>
      </c>
      <c r="D100" s="34" t="s">
        <v>891</v>
      </c>
      <c r="E100" s="34"/>
      <c r="F100" s="34" t="s">
        <v>621</v>
      </c>
      <c r="G100" s="34" t="s">
        <v>622</v>
      </c>
      <c r="H100" s="34" t="s">
        <v>623</v>
      </c>
      <c r="I100" s="34"/>
      <c r="J100" s="34"/>
      <c r="K100" s="34"/>
      <c r="L100" s="34"/>
      <c r="M100" s="34" t="s">
        <v>58</v>
      </c>
      <c r="N100" s="34"/>
      <c r="O100" s="34" t="s">
        <v>11</v>
      </c>
      <c r="P100" s="35"/>
      <c r="Q100" s="35">
        <v>9025000</v>
      </c>
      <c r="R100" s="35"/>
      <c r="S100" s="35">
        <v>7220000</v>
      </c>
      <c r="T100" s="35"/>
      <c r="U100" s="35">
        <f>Q100-S100</f>
        <v>1805000</v>
      </c>
      <c r="V100" s="36"/>
      <c r="W100" s="37"/>
      <c r="X100" s="35" t="e">
        <f>VLOOKUP(C100,Banorte!F:K,6,FALSE)</f>
        <v>#N/A</v>
      </c>
      <c r="Y100" s="35"/>
      <c r="Z100" s="35" t="e">
        <f>X100-Y100</f>
        <v>#N/A</v>
      </c>
      <c r="AA100" s="37"/>
      <c r="AB100" s="34"/>
      <c r="AC100" s="43"/>
      <c r="AD100" s="44"/>
      <c r="AE100" s="34"/>
      <c r="AF100" s="39"/>
      <c r="AG100" s="40"/>
      <c r="AH100" s="114"/>
      <c r="AI100" s="109">
        <v>46211</v>
      </c>
      <c r="AJ100" s="116"/>
      <c r="AK100" s="41"/>
      <c r="AL100" s="33"/>
      <c r="AM100" s="33"/>
      <c r="AN100" s="42"/>
      <c r="AO100" s="108">
        <v>705</v>
      </c>
      <c r="AP100" s="113">
        <v>46183</v>
      </c>
      <c r="AQ100" s="109">
        <v>46211</v>
      </c>
      <c r="AR100" s="110" t="s">
        <v>58</v>
      </c>
      <c r="AS100" s="110"/>
    </row>
    <row r="101" spans="1:45" x14ac:dyDescent="0.2">
      <c r="A101" s="60"/>
      <c r="B101" s="33">
        <v>72</v>
      </c>
      <c r="C101" s="33">
        <v>706</v>
      </c>
      <c r="D101" s="33" t="s">
        <v>890</v>
      </c>
      <c r="E101" s="34"/>
      <c r="F101" s="34" t="s">
        <v>81</v>
      </c>
      <c r="G101" s="34" t="s">
        <v>82</v>
      </c>
      <c r="H101" s="34"/>
      <c r="I101" s="34"/>
      <c r="J101" s="34"/>
      <c r="K101" s="34"/>
      <c r="L101" s="34"/>
      <c r="M101" s="34" t="s">
        <v>445</v>
      </c>
      <c r="N101" s="34"/>
      <c r="O101" s="34" t="s">
        <v>11</v>
      </c>
      <c r="P101" s="35">
        <v>223900</v>
      </c>
      <c r="Q101" s="35">
        <f>P101*$U$3</f>
        <v>4142150</v>
      </c>
      <c r="R101" s="35">
        <v>89571</v>
      </c>
      <c r="S101" s="35"/>
      <c r="T101" s="35">
        <f>P101-R101</f>
        <v>134329</v>
      </c>
      <c r="U101" s="35">
        <f>T101*U$3</f>
        <v>2485086.5</v>
      </c>
      <c r="V101" s="36"/>
      <c r="W101" s="37" t="s">
        <v>55</v>
      </c>
      <c r="X101" s="35" t="e">
        <f>VLOOKUP(C101,Banorte!F:K,6,FALSE)</f>
        <v>#N/A</v>
      </c>
      <c r="Y101" s="35"/>
      <c r="Z101" s="35" t="e">
        <f>X101-Y101</f>
        <v>#N/A</v>
      </c>
      <c r="AA101" s="37"/>
      <c r="AB101" s="34"/>
      <c r="AC101" s="43"/>
      <c r="AD101" s="44"/>
      <c r="AE101" s="34"/>
      <c r="AF101" s="39"/>
      <c r="AG101" s="40"/>
      <c r="AH101" s="114"/>
      <c r="AI101" s="109">
        <v>46211</v>
      </c>
      <c r="AJ101" s="116"/>
      <c r="AK101" s="41"/>
      <c r="AL101" s="33"/>
      <c r="AM101" s="33"/>
      <c r="AN101" s="42"/>
      <c r="AO101" s="108">
        <v>706</v>
      </c>
      <c r="AP101" s="113">
        <v>46183</v>
      </c>
      <c r="AQ101" s="109">
        <v>46211</v>
      </c>
      <c r="AR101" s="110" t="s">
        <v>445</v>
      </c>
      <c r="AS101" s="110"/>
    </row>
    <row r="102" spans="1:45" x14ac:dyDescent="0.2">
      <c r="A102" s="60"/>
      <c r="B102" s="33">
        <v>73</v>
      </c>
      <c r="C102" s="33">
        <v>707</v>
      </c>
      <c r="D102" s="33" t="s">
        <v>890</v>
      </c>
      <c r="E102" s="34"/>
      <c r="F102" s="34" t="s">
        <v>364</v>
      </c>
      <c r="G102" s="34" t="s">
        <v>365</v>
      </c>
      <c r="H102" s="34"/>
      <c r="I102" s="34"/>
      <c r="J102" s="34"/>
      <c r="K102" s="34"/>
      <c r="L102" s="34"/>
      <c r="M102" s="34" t="s">
        <v>445</v>
      </c>
      <c r="N102" s="34"/>
      <c r="O102" s="34" t="s">
        <v>11</v>
      </c>
      <c r="P102" s="35">
        <v>223900</v>
      </c>
      <c r="Q102" s="35">
        <f>P102*$U$3</f>
        <v>4142150</v>
      </c>
      <c r="R102" s="35">
        <v>111950</v>
      </c>
      <c r="S102" s="35"/>
      <c r="T102" s="35">
        <f>P102-R102</f>
        <v>111950</v>
      </c>
      <c r="U102" s="35">
        <f>T102*U$3</f>
        <v>2071075</v>
      </c>
      <c r="V102" s="36"/>
      <c r="W102" s="37" t="s">
        <v>55</v>
      </c>
      <c r="X102" s="35" t="e">
        <f>VLOOKUP(C102,Banorte!F:K,6,FALSE)</f>
        <v>#N/A</v>
      </c>
      <c r="Y102" s="35"/>
      <c r="Z102" s="35" t="e">
        <f>X102-Y102</f>
        <v>#N/A</v>
      </c>
      <c r="AA102" s="38"/>
      <c r="AB102" s="34"/>
      <c r="AC102" s="43"/>
      <c r="AD102" s="44"/>
      <c r="AE102" s="33"/>
      <c r="AF102" s="39"/>
      <c r="AG102" s="40"/>
      <c r="AH102" s="114"/>
      <c r="AI102" s="109">
        <v>46211</v>
      </c>
      <c r="AJ102" s="116"/>
      <c r="AK102" s="41"/>
      <c r="AL102" s="33"/>
      <c r="AM102" s="33"/>
      <c r="AN102" s="42"/>
      <c r="AO102" s="108">
        <v>707</v>
      </c>
      <c r="AP102" s="113">
        <v>46183</v>
      </c>
      <c r="AQ102" s="109">
        <v>46211</v>
      </c>
      <c r="AR102" s="110" t="s">
        <v>445</v>
      </c>
      <c r="AS102" s="110"/>
    </row>
    <row r="103" spans="1:45" x14ac:dyDescent="0.2">
      <c r="A103" s="60"/>
      <c r="B103" s="33">
        <v>74</v>
      </c>
      <c r="C103" s="33">
        <v>708</v>
      </c>
      <c r="D103" s="33" t="s">
        <v>890</v>
      </c>
      <c r="E103" s="34"/>
      <c r="F103" s="34" t="s">
        <v>366</v>
      </c>
      <c r="G103" s="34" t="s">
        <v>367</v>
      </c>
      <c r="H103" s="34"/>
      <c r="I103" s="34"/>
      <c r="J103" s="34"/>
      <c r="K103" s="34"/>
      <c r="L103" s="34"/>
      <c r="M103" s="34" t="s">
        <v>445</v>
      </c>
      <c r="N103" s="34"/>
      <c r="O103" s="34" t="s">
        <v>11</v>
      </c>
      <c r="P103" s="35">
        <v>223900</v>
      </c>
      <c r="Q103" s="35">
        <f>P103*$U$3</f>
        <v>4142150</v>
      </c>
      <c r="R103" s="35">
        <v>111950.02</v>
      </c>
      <c r="S103" s="35"/>
      <c r="T103" s="35">
        <f>P103-R103</f>
        <v>111949.98</v>
      </c>
      <c r="U103" s="35">
        <f>T103*U$3</f>
        <v>2071074.63</v>
      </c>
      <c r="V103" s="36"/>
      <c r="W103" s="37" t="s">
        <v>55</v>
      </c>
      <c r="X103" s="35" t="e">
        <f>VLOOKUP(C103,Banorte!F:K,6,FALSE)</f>
        <v>#N/A</v>
      </c>
      <c r="Y103" s="35"/>
      <c r="Z103" s="35" t="e">
        <f>X103-Y103</f>
        <v>#N/A</v>
      </c>
      <c r="AA103" s="37"/>
      <c r="AB103" s="34"/>
      <c r="AC103" s="43"/>
      <c r="AD103" s="44"/>
      <c r="AE103" s="34"/>
      <c r="AF103" s="39"/>
      <c r="AG103" s="40"/>
      <c r="AH103" s="114"/>
      <c r="AI103" s="109">
        <v>46211</v>
      </c>
      <c r="AJ103" s="116"/>
      <c r="AK103" s="41"/>
      <c r="AL103" s="33"/>
      <c r="AM103" s="33"/>
      <c r="AN103" s="42"/>
      <c r="AO103" s="108">
        <v>708</v>
      </c>
      <c r="AP103" s="113">
        <v>46183</v>
      </c>
      <c r="AQ103" s="109">
        <v>46211</v>
      </c>
      <c r="AR103" s="110" t="s">
        <v>445</v>
      </c>
      <c r="AS103" s="110"/>
    </row>
    <row r="104" spans="1:45" x14ac:dyDescent="0.2">
      <c r="A104" s="60"/>
      <c r="B104" s="33">
        <v>75</v>
      </c>
      <c r="C104" s="33">
        <v>709</v>
      </c>
      <c r="D104" s="33" t="s">
        <v>890</v>
      </c>
      <c r="E104" s="34"/>
      <c r="F104" s="34" t="s">
        <v>368</v>
      </c>
      <c r="G104" s="34" t="s">
        <v>369</v>
      </c>
      <c r="H104" s="34"/>
      <c r="I104" s="34"/>
      <c r="J104" s="34"/>
      <c r="K104" s="34"/>
      <c r="L104" s="34"/>
      <c r="M104" s="34" t="s">
        <v>53</v>
      </c>
      <c r="N104" s="34"/>
      <c r="O104" s="34" t="s">
        <v>11</v>
      </c>
      <c r="P104" s="35">
        <v>223900</v>
      </c>
      <c r="Q104" s="35">
        <f>P104*$U$3</f>
        <v>4142150</v>
      </c>
      <c r="R104" s="35">
        <v>89571</v>
      </c>
      <c r="S104" s="35"/>
      <c r="T104" s="35">
        <f>P104-R104</f>
        <v>134329</v>
      </c>
      <c r="U104" s="35">
        <f>T104*U$3</f>
        <v>2485086.5</v>
      </c>
      <c r="V104" s="36"/>
      <c r="W104" s="37"/>
      <c r="X104" s="35" t="e">
        <f>VLOOKUP(C104,Banorte!F:K,6,FALSE)</f>
        <v>#N/A</v>
      </c>
      <c r="Y104" s="35"/>
      <c r="Z104" s="35" t="e">
        <f>X104-Y104</f>
        <v>#N/A</v>
      </c>
      <c r="AA104" s="37"/>
      <c r="AB104" s="34"/>
      <c r="AC104" s="43"/>
      <c r="AD104" s="44"/>
      <c r="AE104" s="34"/>
      <c r="AF104" s="39"/>
      <c r="AG104" s="40"/>
      <c r="AH104" s="114"/>
      <c r="AI104" s="109">
        <v>46211</v>
      </c>
      <c r="AJ104" s="116"/>
      <c r="AK104" s="41"/>
      <c r="AL104" s="33"/>
      <c r="AM104" s="33"/>
      <c r="AN104" s="42"/>
      <c r="AO104" s="108">
        <v>709</v>
      </c>
      <c r="AP104" s="113">
        <v>46183</v>
      </c>
      <c r="AQ104" s="109">
        <v>46211</v>
      </c>
      <c r="AR104" s="110" t="s">
        <v>53</v>
      </c>
      <c r="AS104" s="110"/>
    </row>
    <row r="105" spans="1:45" x14ac:dyDescent="0.2">
      <c r="A105" s="60"/>
      <c r="B105" s="33">
        <v>76</v>
      </c>
      <c r="C105" s="33">
        <v>710</v>
      </c>
      <c r="D105" s="33" t="s">
        <v>890</v>
      </c>
      <c r="E105" s="34"/>
      <c r="F105" s="34" t="s">
        <v>370</v>
      </c>
      <c r="G105" s="34" t="s">
        <v>371</v>
      </c>
      <c r="H105" s="34"/>
      <c r="I105" s="34"/>
      <c r="J105" s="34"/>
      <c r="K105" s="34"/>
      <c r="L105" s="34"/>
      <c r="M105" s="34" t="s">
        <v>445</v>
      </c>
      <c r="N105" s="34"/>
      <c r="O105" s="34" t="s">
        <v>11</v>
      </c>
      <c r="P105" s="35">
        <v>223900</v>
      </c>
      <c r="Q105" s="35">
        <f>P105*$U$3</f>
        <v>4142150</v>
      </c>
      <c r="R105" s="35">
        <v>89571</v>
      </c>
      <c r="S105" s="35"/>
      <c r="T105" s="35">
        <f>P105-R105</f>
        <v>134329</v>
      </c>
      <c r="U105" s="35">
        <f>T105*U$3</f>
        <v>2485086.5</v>
      </c>
      <c r="V105" s="36"/>
      <c r="W105" s="37" t="s">
        <v>55</v>
      </c>
      <c r="X105" s="35" t="e">
        <f>VLOOKUP(C105,Banorte!F:K,6,FALSE)</f>
        <v>#N/A</v>
      </c>
      <c r="Y105" s="35"/>
      <c r="Z105" s="35" t="e">
        <f>X105-Y105</f>
        <v>#N/A</v>
      </c>
      <c r="AA105" s="38"/>
      <c r="AB105" s="34"/>
      <c r="AC105" s="43"/>
      <c r="AD105" s="44"/>
      <c r="AE105" s="33"/>
      <c r="AF105" s="39"/>
      <c r="AG105" s="40"/>
      <c r="AH105" s="114"/>
      <c r="AI105" s="109">
        <v>46211</v>
      </c>
      <c r="AJ105" s="116"/>
      <c r="AK105" s="41"/>
      <c r="AL105" s="33"/>
      <c r="AM105" s="33"/>
      <c r="AN105" s="42"/>
      <c r="AO105" s="108">
        <v>710</v>
      </c>
      <c r="AP105" s="113">
        <v>46183</v>
      </c>
      <c r="AQ105" s="109">
        <v>46211</v>
      </c>
      <c r="AR105" s="110" t="s">
        <v>445</v>
      </c>
      <c r="AS105" s="110"/>
    </row>
    <row r="106" spans="1:45" x14ac:dyDescent="0.2">
      <c r="A106" s="60"/>
      <c r="B106" s="33">
        <v>177</v>
      </c>
      <c r="C106" s="34">
        <v>711</v>
      </c>
      <c r="D106" s="34" t="s">
        <v>891</v>
      </c>
      <c r="E106" s="34"/>
      <c r="F106" s="34" t="s">
        <v>624</v>
      </c>
      <c r="G106" s="34" t="s">
        <v>625</v>
      </c>
      <c r="H106" s="34" t="s">
        <v>626</v>
      </c>
      <c r="I106" s="34"/>
      <c r="J106" s="34"/>
      <c r="K106" s="34"/>
      <c r="L106" s="34"/>
      <c r="M106" s="34" t="s">
        <v>58</v>
      </c>
      <c r="N106" s="34"/>
      <c r="O106" s="34" t="s">
        <v>11</v>
      </c>
      <c r="P106" s="35"/>
      <c r="Q106" s="35">
        <v>8500000</v>
      </c>
      <c r="R106" s="35"/>
      <c r="S106" s="35">
        <v>3738000</v>
      </c>
      <c r="T106" s="35"/>
      <c r="U106" s="35">
        <f>Q106-S106</f>
        <v>4762000</v>
      </c>
      <c r="V106" s="36"/>
      <c r="W106" s="37"/>
      <c r="X106" s="35" t="e">
        <f>VLOOKUP(C106,Banorte!F:K,6,FALSE)</f>
        <v>#N/A</v>
      </c>
      <c r="Y106" s="35"/>
      <c r="Z106" s="35" t="e">
        <f>X106-Y106</f>
        <v>#N/A</v>
      </c>
      <c r="AA106" s="38"/>
      <c r="AB106" s="34"/>
      <c r="AC106" s="43"/>
      <c r="AD106" s="44"/>
      <c r="AE106" s="33"/>
      <c r="AF106" s="39"/>
      <c r="AG106" s="40"/>
      <c r="AH106" s="114"/>
      <c r="AI106" s="109">
        <v>46211</v>
      </c>
      <c r="AJ106" s="116"/>
      <c r="AK106" s="41"/>
      <c r="AL106" s="33"/>
      <c r="AM106" s="33"/>
      <c r="AN106" s="42"/>
      <c r="AO106" s="108">
        <v>711</v>
      </c>
      <c r="AP106" s="113">
        <v>46183</v>
      </c>
      <c r="AQ106" s="109">
        <v>46211</v>
      </c>
      <c r="AR106" s="110" t="s">
        <v>58</v>
      </c>
      <c r="AS106" s="110"/>
    </row>
    <row r="107" spans="1:45" x14ac:dyDescent="0.2">
      <c r="A107" s="60"/>
      <c r="B107" s="33">
        <v>77</v>
      </c>
      <c r="C107" s="33">
        <v>712</v>
      </c>
      <c r="D107" s="33" t="s">
        <v>890</v>
      </c>
      <c r="E107" s="34"/>
      <c r="F107" s="34" t="s">
        <v>372</v>
      </c>
      <c r="G107" s="34" t="s">
        <v>373</v>
      </c>
      <c r="H107" s="34"/>
      <c r="I107" s="34"/>
      <c r="J107" s="34"/>
      <c r="K107" s="34"/>
      <c r="L107" s="34"/>
      <c r="M107" s="34" t="s">
        <v>53</v>
      </c>
      <c r="N107" s="34"/>
      <c r="O107" s="34" t="s">
        <v>11</v>
      </c>
      <c r="P107" s="35">
        <v>223900</v>
      </c>
      <c r="Q107" s="35">
        <f>P107*$U$3</f>
        <v>4142150</v>
      </c>
      <c r="R107" s="35">
        <v>89571</v>
      </c>
      <c r="S107" s="35"/>
      <c r="T107" s="35">
        <f>P107-R107</f>
        <v>134329</v>
      </c>
      <c r="U107" s="35">
        <f>T107*U$3</f>
        <v>2485086.5</v>
      </c>
      <c r="V107" s="36"/>
      <c r="W107" s="37"/>
      <c r="X107" s="35" t="e">
        <f>VLOOKUP(C107,Banorte!F:K,6,FALSE)</f>
        <v>#N/A</v>
      </c>
      <c r="Y107" s="35"/>
      <c r="Z107" s="35" t="e">
        <f>X107-Y107</f>
        <v>#N/A</v>
      </c>
      <c r="AA107" s="37"/>
      <c r="AB107" s="34"/>
      <c r="AC107" s="43"/>
      <c r="AD107" s="44"/>
      <c r="AE107" s="34"/>
      <c r="AF107" s="39"/>
      <c r="AG107" s="40"/>
      <c r="AH107" s="114"/>
      <c r="AI107" s="109">
        <v>46211</v>
      </c>
      <c r="AJ107" s="116"/>
      <c r="AK107" s="41"/>
      <c r="AL107" s="33"/>
      <c r="AM107" s="33"/>
      <c r="AN107" s="42"/>
      <c r="AO107" s="108">
        <v>712</v>
      </c>
      <c r="AP107" s="113">
        <v>46183</v>
      </c>
      <c r="AQ107" s="109">
        <v>46211</v>
      </c>
      <c r="AR107" s="110" t="s">
        <v>53</v>
      </c>
      <c r="AS107" s="110"/>
    </row>
    <row r="108" spans="1:45" x14ac:dyDescent="0.2">
      <c r="A108" s="60"/>
      <c r="B108" s="33">
        <v>178</v>
      </c>
      <c r="C108" s="34">
        <v>713</v>
      </c>
      <c r="D108" s="34" t="s">
        <v>891</v>
      </c>
      <c r="E108" s="34"/>
      <c r="F108" s="34" t="s">
        <v>627</v>
      </c>
      <c r="G108" s="34" t="s">
        <v>628</v>
      </c>
      <c r="H108" s="34" t="s">
        <v>629</v>
      </c>
      <c r="I108" s="34"/>
      <c r="J108" s="34"/>
      <c r="K108" s="34"/>
      <c r="L108" s="34"/>
      <c r="M108" s="34" t="s">
        <v>58</v>
      </c>
      <c r="N108" s="34"/>
      <c r="O108" s="34" t="s">
        <v>11</v>
      </c>
      <c r="P108" s="35"/>
      <c r="Q108" s="35">
        <v>9568700</v>
      </c>
      <c r="R108" s="35"/>
      <c r="S108" s="35">
        <v>6868609.9900000002</v>
      </c>
      <c r="T108" s="35"/>
      <c r="U108" s="35">
        <f>Q108-S108</f>
        <v>2700090.01</v>
      </c>
      <c r="V108" s="36"/>
      <c r="W108" s="37"/>
      <c r="X108" s="35" t="e">
        <f>VLOOKUP(C108,Banorte!F:K,6,FALSE)</f>
        <v>#N/A</v>
      </c>
      <c r="Y108" s="35"/>
      <c r="Z108" s="35" t="e">
        <f>X108-Y108</f>
        <v>#N/A</v>
      </c>
      <c r="AA108" s="37"/>
      <c r="AB108" s="34"/>
      <c r="AC108" s="43"/>
      <c r="AD108" s="44"/>
      <c r="AE108" s="34"/>
      <c r="AF108" s="39"/>
      <c r="AG108" s="40"/>
      <c r="AH108" s="114"/>
      <c r="AI108" s="109">
        <v>46211</v>
      </c>
      <c r="AJ108" s="116"/>
      <c r="AK108" s="41"/>
      <c r="AL108" s="33"/>
      <c r="AM108" s="33"/>
      <c r="AN108" s="42"/>
      <c r="AO108" s="108">
        <v>713</v>
      </c>
      <c r="AP108" s="113">
        <v>46183</v>
      </c>
      <c r="AQ108" s="109">
        <v>46211</v>
      </c>
      <c r="AR108" s="110" t="s">
        <v>58</v>
      </c>
      <c r="AS108" s="110"/>
    </row>
    <row r="109" spans="1:45" x14ac:dyDescent="0.2">
      <c r="A109" s="60"/>
      <c r="B109" s="33">
        <v>78</v>
      </c>
      <c r="C109" s="33">
        <v>714</v>
      </c>
      <c r="D109" s="33" t="s">
        <v>890</v>
      </c>
      <c r="E109" s="34"/>
      <c r="F109" s="34" t="s">
        <v>374</v>
      </c>
      <c r="G109" s="34" t="s">
        <v>375</v>
      </c>
      <c r="H109" s="34"/>
      <c r="I109" s="34"/>
      <c r="J109" s="34"/>
      <c r="K109" s="34"/>
      <c r="L109" s="34"/>
      <c r="M109" s="34" t="s">
        <v>53</v>
      </c>
      <c r="N109" s="34"/>
      <c r="O109" s="34" t="s">
        <v>11</v>
      </c>
      <c r="P109" s="35">
        <v>377500</v>
      </c>
      <c r="Q109" s="35">
        <f>P109*$U$3</f>
        <v>6983750</v>
      </c>
      <c r="R109" s="35">
        <v>133720</v>
      </c>
      <c r="S109" s="35"/>
      <c r="T109" s="35">
        <f>P109-R109</f>
        <v>243780</v>
      </c>
      <c r="U109" s="35">
        <f>T109*U$3</f>
        <v>4509930</v>
      </c>
      <c r="V109" s="36"/>
      <c r="W109" s="37"/>
      <c r="X109" s="35" t="e">
        <f>VLOOKUP(C109,Banorte!F:K,6,FALSE)</f>
        <v>#N/A</v>
      </c>
      <c r="Y109" s="35"/>
      <c r="Z109" s="35" t="e">
        <f>X109-Y109</f>
        <v>#N/A</v>
      </c>
      <c r="AA109" s="38"/>
      <c r="AB109" s="34"/>
      <c r="AC109" s="43"/>
      <c r="AD109" s="44"/>
      <c r="AE109" s="33"/>
      <c r="AF109" s="39"/>
      <c r="AG109" s="40"/>
      <c r="AH109" s="114"/>
      <c r="AI109" s="109">
        <v>46211</v>
      </c>
      <c r="AJ109" s="116"/>
      <c r="AK109" s="41"/>
      <c r="AL109" s="33"/>
      <c r="AM109" s="33"/>
      <c r="AN109" s="42"/>
      <c r="AO109" s="108">
        <v>714</v>
      </c>
      <c r="AP109" s="113">
        <v>46183</v>
      </c>
      <c r="AQ109" s="109">
        <v>46211</v>
      </c>
      <c r="AR109" s="110" t="s">
        <v>53</v>
      </c>
      <c r="AS109" s="110"/>
    </row>
    <row r="110" spans="1:45" x14ac:dyDescent="0.2">
      <c r="A110" s="60"/>
      <c r="B110" s="33">
        <v>79</v>
      </c>
      <c r="C110" s="33">
        <v>715</v>
      </c>
      <c r="D110" s="33" t="s">
        <v>890</v>
      </c>
      <c r="E110" s="34"/>
      <c r="F110" s="34" t="s">
        <v>376</v>
      </c>
      <c r="G110" s="34" t="s">
        <v>377</v>
      </c>
      <c r="H110" s="34"/>
      <c r="I110" s="34"/>
      <c r="J110" s="34"/>
      <c r="K110" s="34"/>
      <c r="L110" s="34"/>
      <c r="M110" s="34" t="s">
        <v>445</v>
      </c>
      <c r="N110" s="34"/>
      <c r="O110" s="34" t="s">
        <v>11</v>
      </c>
      <c r="P110" s="35">
        <v>223900</v>
      </c>
      <c r="Q110" s="35">
        <f>P110*$U$3</f>
        <v>4142150</v>
      </c>
      <c r="R110" s="35">
        <v>111950</v>
      </c>
      <c r="S110" s="35"/>
      <c r="T110" s="35">
        <f>P110-R110</f>
        <v>111950</v>
      </c>
      <c r="U110" s="35">
        <f>T110*U$3</f>
        <v>2071075</v>
      </c>
      <c r="V110" s="36"/>
      <c r="W110" s="37" t="s">
        <v>55</v>
      </c>
      <c r="X110" s="35" t="e">
        <f>VLOOKUP(C110,Banorte!F:K,6,FALSE)</f>
        <v>#N/A</v>
      </c>
      <c r="Y110" s="35"/>
      <c r="Z110" s="35" t="e">
        <f>X110-Y110</f>
        <v>#N/A</v>
      </c>
      <c r="AA110" s="37"/>
      <c r="AB110" s="34"/>
      <c r="AC110" s="43"/>
      <c r="AD110" s="44"/>
      <c r="AE110" s="34"/>
      <c r="AF110" s="39"/>
      <c r="AG110" s="40"/>
      <c r="AH110" s="114"/>
      <c r="AI110" s="109">
        <v>46211</v>
      </c>
      <c r="AJ110" s="116"/>
      <c r="AK110" s="41"/>
      <c r="AL110" s="33"/>
      <c r="AM110" s="33"/>
      <c r="AN110" s="42"/>
      <c r="AO110" s="108">
        <v>715</v>
      </c>
      <c r="AP110" s="113">
        <v>46183</v>
      </c>
      <c r="AQ110" s="109">
        <v>46211</v>
      </c>
      <c r="AR110" s="110" t="s">
        <v>445</v>
      </c>
      <c r="AS110" s="110"/>
    </row>
    <row r="111" spans="1:45" x14ac:dyDescent="0.2">
      <c r="A111" s="60"/>
      <c r="B111" s="33">
        <v>80</v>
      </c>
      <c r="C111" s="33">
        <v>716</v>
      </c>
      <c r="D111" s="33" t="s">
        <v>890</v>
      </c>
      <c r="E111" s="34"/>
      <c r="F111" s="34" t="s">
        <v>56</v>
      </c>
      <c r="G111" s="34" t="s">
        <v>57</v>
      </c>
      <c r="H111" s="34"/>
      <c r="I111" s="34"/>
      <c r="J111" s="34"/>
      <c r="K111" s="34"/>
      <c r="L111" s="34"/>
      <c r="M111" s="34" t="s">
        <v>445</v>
      </c>
      <c r="N111" s="34"/>
      <c r="O111" s="34" t="s">
        <v>11</v>
      </c>
      <c r="P111" s="35">
        <v>223900</v>
      </c>
      <c r="Q111" s="35">
        <f>P111*$U$3</f>
        <v>4142150</v>
      </c>
      <c r="R111" s="35">
        <v>89571</v>
      </c>
      <c r="S111" s="35"/>
      <c r="T111" s="35">
        <f>P111-R111</f>
        <v>134329</v>
      </c>
      <c r="U111" s="35">
        <f>T111*U$3</f>
        <v>2485086.5</v>
      </c>
      <c r="V111" s="36"/>
      <c r="W111" s="37" t="s">
        <v>55</v>
      </c>
      <c r="X111" s="35" t="e">
        <f>VLOOKUP(C111,Banorte!F:K,6,FALSE)</f>
        <v>#N/A</v>
      </c>
      <c r="Y111" s="35"/>
      <c r="Z111" s="35" t="e">
        <f>X111-Y111</f>
        <v>#N/A</v>
      </c>
      <c r="AA111" s="37"/>
      <c r="AB111" s="34"/>
      <c r="AC111" s="43"/>
      <c r="AD111" s="44"/>
      <c r="AE111" s="34"/>
      <c r="AF111" s="39"/>
      <c r="AG111" s="40"/>
      <c r="AH111" s="114"/>
      <c r="AI111" s="109">
        <v>46211</v>
      </c>
      <c r="AJ111" s="116"/>
      <c r="AK111" s="41"/>
      <c r="AL111" s="33"/>
      <c r="AM111" s="33"/>
      <c r="AN111" s="42"/>
      <c r="AO111" s="108">
        <v>716</v>
      </c>
      <c r="AP111" s="113">
        <v>46183</v>
      </c>
      <c r="AQ111" s="109">
        <v>46211</v>
      </c>
      <c r="AR111" s="110" t="s">
        <v>445</v>
      </c>
      <c r="AS111" s="110"/>
    </row>
    <row r="112" spans="1:45" x14ac:dyDescent="0.2">
      <c r="A112" s="60"/>
      <c r="B112" s="33">
        <v>81</v>
      </c>
      <c r="C112" s="33">
        <v>717</v>
      </c>
      <c r="D112" s="33" t="s">
        <v>890</v>
      </c>
      <c r="E112" s="34"/>
      <c r="F112" s="34" t="s">
        <v>378</v>
      </c>
      <c r="G112" s="34" t="s">
        <v>379</v>
      </c>
      <c r="H112" s="34"/>
      <c r="I112" s="34"/>
      <c r="J112" s="34"/>
      <c r="K112" s="34"/>
      <c r="L112" s="34"/>
      <c r="M112" s="34" t="s">
        <v>445</v>
      </c>
      <c r="N112" s="34"/>
      <c r="O112" s="34" t="s">
        <v>11</v>
      </c>
      <c r="P112" s="35">
        <v>223900</v>
      </c>
      <c r="Q112" s="35">
        <f>P112*$U$3</f>
        <v>4142150</v>
      </c>
      <c r="R112" s="35">
        <v>89571</v>
      </c>
      <c r="S112" s="35"/>
      <c r="T112" s="35">
        <f>P112-R112</f>
        <v>134329</v>
      </c>
      <c r="U112" s="35">
        <f>T112*U$3</f>
        <v>2485086.5</v>
      </c>
      <c r="V112" s="36"/>
      <c r="W112" s="37" t="s">
        <v>55</v>
      </c>
      <c r="X112" s="35" t="e">
        <f>VLOOKUP(C112,Banorte!F:K,6,FALSE)</f>
        <v>#N/A</v>
      </c>
      <c r="Y112" s="35"/>
      <c r="Z112" s="35" t="e">
        <f>X112-Y112</f>
        <v>#N/A</v>
      </c>
      <c r="AA112" s="38"/>
      <c r="AB112" s="34"/>
      <c r="AC112" s="43"/>
      <c r="AD112" s="44"/>
      <c r="AE112" s="33"/>
      <c r="AF112" s="39"/>
      <c r="AG112" s="40"/>
      <c r="AH112" s="114"/>
      <c r="AI112" s="109">
        <v>46211</v>
      </c>
      <c r="AJ112" s="116"/>
      <c r="AK112" s="41"/>
      <c r="AL112" s="33"/>
      <c r="AM112" s="33"/>
      <c r="AN112" s="42"/>
      <c r="AO112" s="108">
        <v>717</v>
      </c>
      <c r="AP112" s="113">
        <v>46183</v>
      </c>
      <c r="AQ112" s="109">
        <v>46211</v>
      </c>
      <c r="AR112" s="110" t="s">
        <v>445</v>
      </c>
      <c r="AS112" s="110"/>
    </row>
    <row r="113" spans="1:45" x14ac:dyDescent="0.2">
      <c r="A113" s="60"/>
      <c r="B113" s="33">
        <v>179</v>
      </c>
      <c r="C113" s="34">
        <v>801</v>
      </c>
      <c r="D113" s="34" t="s">
        <v>891</v>
      </c>
      <c r="E113" s="34"/>
      <c r="F113" s="34" t="s">
        <v>630</v>
      </c>
      <c r="G113" s="34" t="s">
        <v>631</v>
      </c>
      <c r="H113" s="34" t="s">
        <v>632</v>
      </c>
      <c r="I113" s="34"/>
      <c r="J113" s="34"/>
      <c r="K113" s="34"/>
      <c r="L113" s="34"/>
      <c r="M113" s="34" t="s">
        <v>58</v>
      </c>
      <c r="N113" s="34"/>
      <c r="O113" s="34" t="s">
        <v>11</v>
      </c>
      <c r="P113" s="35"/>
      <c r="Q113" s="35">
        <v>6023700</v>
      </c>
      <c r="R113" s="35"/>
      <c r="S113" s="35">
        <v>6023700</v>
      </c>
      <c r="T113" s="35"/>
      <c r="U113" s="35">
        <f>Q113-S113</f>
        <v>0</v>
      </c>
      <c r="V113" s="36"/>
      <c r="W113" s="37"/>
      <c r="X113" s="35" t="e">
        <f>VLOOKUP(C113,Banorte!F:K,6,FALSE)</f>
        <v>#N/A</v>
      </c>
      <c r="Y113" s="35"/>
      <c r="Z113" s="35" t="e">
        <f>X113-Y113</f>
        <v>#N/A</v>
      </c>
      <c r="AA113" s="37"/>
      <c r="AB113" s="34"/>
      <c r="AC113" s="43"/>
      <c r="AD113" s="44"/>
      <c r="AE113" s="34"/>
      <c r="AF113" s="39"/>
      <c r="AG113" s="40"/>
      <c r="AH113" s="114"/>
      <c r="AI113" s="109">
        <v>46225</v>
      </c>
      <c r="AJ113" s="116"/>
      <c r="AK113" s="41"/>
      <c r="AL113" s="33"/>
      <c r="AM113" s="33"/>
      <c r="AN113" s="42"/>
      <c r="AO113" s="112">
        <v>801</v>
      </c>
      <c r="AP113" s="113">
        <v>46166</v>
      </c>
      <c r="AQ113" s="109">
        <v>46225</v>
      </c>
      <c r="AR113" s="110" t="s">
        <v>58</v>
      </c>
      <c r="AS113" s="110" t="s">
        <v>34</v>
      </c>
    </row>
    <row r="114" spans="1:45" x14ac:dyDescent="0.2">
      <c r="A114" s="60"/>
      <c r="B114" s="33">
        <v>82</v>
      </c>
      <c r="C114" s="33">
        <v>802</v>
      </c>
      <c r="D114" s="33" t="s">
        <v>890</v>
      </c>
      <c r="E114" s="34"/>
      <c r="F114" s="34" t="s">
        <v>380</v>
      </c>
      <c r="G114" s="34" t="s">
        <v>381</v>
      </c>
      <c r="H114" s="34"/>
      <c r="I114" s="34"/>
      <c r="J114" s="34"/>
      <c r="K114" s="34"/>
      <c r="L114" s="34"/>
      <c r="M114" s="34" t="s">
        <v>445</v>
      </c>
      <c r="N114" s="34"/>
      <c r="O114" s="34" t="s">
        <v>11</v>
      </c>
      <c r="P114" s="35">
        <v>318600</v>
      </c>
      <c r="Q114" s="35">
        <f>P114*$U$3</f>
        <v>5894100</v>
      </c>
      <c r="R114" s="35">
        <v>318600</v>
      </c>
      <c r="S114" s="35"/>
      <c r="T114" s="35">
        <f>P114-R114</f>
        <v>0</v>
      </c>
      <c r="U114" s="35">
        <f>T114*U$3</f>
        <v>0</v>
      </c>
      <c r="V114" s="36"/>
      <c r="W114" s="37" t="s">
        <v>55</v>
      </c>
      <c r="X114" s="35" t="e">
        <f>VLOOKUP(C114,Banorte!F:K,6,FALSE)</f>
        <v>#N/A</v>
      </c>
      <c r="Y114" s="35"/>
      <c r="Z114" s="35" t="e">
        <f>X114-Y114</f>
        <v>#N/A</v>
      </c>
      <c r="AA114" s="37"/>
      <c r="AB114" s="34"/>
      <c r="AC114" s="43"/>
      <c r="AD114" s="44"/>
      <c r="AE114" s="34"/>
      <c r="AF114" s="39"/>
      <c r="AG114" s="40"/>
      <c r="AH114" s="114"/>
      <c r="AI114" s="109">
        <v>46225</v>
      </c>
      <c r="AJ114" s="116"/>
      <c r="AK114" s="41"/>
      <c r="AL114" s="33"/>
      <c r="AM114" s="33"/>
      <c r="AN114" s="42"/>
      <c r="AO114" s="112">
        <v>802</v>
      </c>
      <c r="AP114" s="113">
        <v>46166</v>
      </c>
      <c r="AQ114" s="109">
        <v>46225</v>
      </c>
      <c r="AR114" s="110" t="s">
        <v>445</v>
      </c>
      <c r="AS114" s="110" t="s">
        <v>34</v>
      </c>
    </row>
    <row r="115" spans="1:45" x14ac:dyDescent="0.2">
      <c r="A115" s="60"/>
      <c r="B115" s="33">
        <v>83</v>
      </c>
      <c r="C115" s="33">
        <v>803</v>
      </c>
      <c r="D115" s="33" t="s">
        <v>890</v>
      </c>
      <c r="E115" s="34"/>
      <c r="F115" s="34" t="s">
        <v>382</v>
      </c>
      <c r="G115" s="34" t="s">
        <v>383</v>
      </c>
      <c r="H115" s="34"/>
      <c r="I115" s="34"/>
      <c r="J115" s="34"/>
      <c r="K115" s="34"/>
      <c r="L115" s="34"/>
      <c r="M115" s="34" t="s">
        <v>53</v>
      </c>
      <c r="N115" s="34"/>
      <c r="O115" s="34" t="s">
        <v>11</v>
      </c>
      <c r="P115" s="35">
        <v>318600</v>
      </c>
      <c r="Q115" s="35">
        <f>P115*$U$3</f>
        <v>5894100</v>
      </c>
      <c r="R115" s="35">
        <v>121940</v>
      </c>
      <c r="S115" s="35"/>
      <c r="T115" s="35">
        <f>P115-R115</f>
        <v>196660</v>
      </c>
      <c r="U115" s="35">
        <f>T115*U$3</f>
        <v>3638210</v>
      </c>
      <c r="V115" s="36"/>
      <c r="W115" s="37"/>
      <c r="X115" s="35" t="e">
        <f>VLOOKUP(C115,Banorte!F:K,6,FALSE)</f>
        <v>#N/A</v>
      </c>
      <c r="Y115" s="35"/>
      <c r="Z115" s="35" t="e">
        <f>X115-Y115</f>
        <v>#N/A</v>
      </c>
      <c r="AA115" s="37"/>
      <c r="AB115" s="34"/>
      <c r="AC115" s="43"/>
      <c r="AD115" s="44"/>
      <c r="AE115" s="34"/>
      <c r="AF115" s="39"/>
      <c r="AG115" s="40"/>
      <c r="AH115" s="114"/>
      <c r="AI115" s="109">
        <v>46225</v>
      </c>
      <c r="AJ115" s="116"/>
      <c r="AK115" s="41"/>
      <c r="AL115" s="33"/>
      <c r="AM115" s="33"/>
      <c r="AN115" s="42"/>
      <c r="AO115" s="108">
        <v>803</v>
      </c>
      <c r="AP115" s="113">
        <v>46166</v>
      </c>
      <c r="AQ115" s="109">
        <v>46225</v>
      </c>
      <c r="AR115" s="110" t="s">
        <v>53</v>
      </c>
      <c r="AS115" s="110"/>
    </row>
    <row r="116" spans="1:45" x14ac:dyDescent="0.2">
      <c r="A116" s="60"/>
      <c r="B116" s="33">
        <v>84</v>
      </c>
      <c r="C116" s="33">
        <v>804</v>
      </c>
      <c r="D116" s="33" t="s">
        <v>890</v>
      </c>
      <c r="E116" s="34"/>
      <c r="F116" s="34" t="s">
        <v>81</v>
      </c>
      <c r="G116" s="34" t="s">
        <v>82</v>
      </c>
      <c r="H116" s="34"/>
      <c r="I116" s="34"/>
      <c r="J116" s="34"/>
      <c r="K116" s="34"/>
      <c r="L116" s="34"/>
      <c r="M116" s="34" t="s">
        <v>445</v>
      </c>
      <c r="N116" s="34"/>
      <c r="O116" s="34" t="s">
        <v>11</v>
      </c>
      <c r="P116" s="35">
        <v>381000</v>
      </c>
      <c r="Q116" s="35">
        <f>P116*$U$3</f>
        <v>7048500</v>
      </c>
      <c r="R116" s="35">
        <v>134420</v>
      </c>
      <c r="S116" s="35"/>
      <c r="T116" s="35">
        <f>P116-R116</f>
        <v>246580</v>
      </c>
      <c r="U116" s="35">
        <f>T116*U$3</f>
        <v>4561730</v>
      </c>
      <c r="V116" s="36"/>
      <c r="W116" s="37" t="s">
        <v>55</v>
      </c>
      <c r="X116" s="35" t="e">
        <f>VLOOKUP(C116,Banorte!F:K,6,FALSE)</f>
        <v>#N/A</v>
      </c>
      <c r="Y116" s="35"/>
      <c r="Z116" s="35" t="e">
        <f>X116-Y116</f>
        <v>#N/A</v>
      </c>
      <c r="AA116" s="38"/>
      <c r="AB116" s="34"/>
      <c r="AC116" s="43"/>
      <c r="AD116" s="44"/>
      <c r="AE116" s="33"/>
      <c r="AF116" s="39"/>
      <c r="AG116" s="40"/>
      <c r="AH116" s="114"/>
      <c r="AI116" s="109">
        <v>46225</v>
      </c>
      <c r="AJ116" s="116"/>
      <c r="AK116" s="41"/>
      <c r="AL116" s="33"/>
      <c r="AM116" s="33"/>
      <c r="AN116" s="42"/>
      <c r="AO116" s="108">
        <v>804</v>
      </c>
      <c r="AP116" s="113">
        <v>46166</v>
      </c>
      <c r="AQ116" s="109">
        <v>46225</v>
      </c>
      <c r="AR116" s="110" t="s">
        <v>445</v>
      </c>
      <c r="AS116" s="110"/>
    </row>
    <row r="117" spans="1:45" x14ac:dyDescent="0.2">
      <c r="A117" s="60"/>
      <c r="B117" s="33">
        <v>85</v>
      </c>
      <c r="C117" s="33">
        <v>805</v>
      </c>
      <c r="D117" s="33" t="s">
        <v>890</v>
      </c>
      <c r="E117" s="34"/>
      <c r="F117" s="34" t="s">
        <v>384</v>
      </c>
      <c r="G117" s="34" t="s">
        <v>385</v>
      </c>
      <c r="H117" s="34"/>
      <c r="I117" s="34"/>
      <c r="J117" s="34"/>
      <c r="K117" s="34"/>
      <c r="L117" s="34"/>
      <c r="M117" s="34" t="s">
        <v>445</v>
      </c>
      <c r="N117" s="34"/>
      <c r="O117" s="34" t="s">
        <v>11</v>
      </c>
      <c r="P117" s="35">
        <v>381000</v>
      </c>
      <c r="Q117" s="35">
        <f>P117*$U$3</f>
        <v>7048500</v>
      </c>
      <c r="R117" s="35">
        <v>136260</v>
      </c>
      <c r="S117" s="35"/>
      <c r="T117" s="35">
        <f>P117-R117</f>
        <v>244740</v>
      </c>
      <c r="U117" s="35">
        <f>T117*U$3</f>
        <v>4527690</v>
      </c>
      <c r="V117" s="36"/>
      <c r="W117" s="37" t="s">
        <v>55</v>
      </c>
      <c r="X117" s="35" t="e">
        <f>VLOOKUP(C117,Banorte!F:K,6,FALSE)</f>
        <v>#N/A</v>
      </c>
      <c r="Y117" s="35"/>
      <c r="Z117" s="35" t="e">
        <f>X117-Y117</f>
        <v>#N/A</v>
      </c>
      <c r="AA117" s="37"/>
      <c r="AB117" s="34"/>
      <c r="AC117" s="43"/>
      <c r="AD117" s="44"/>
      <c r="AE117" s="34"/>
      <c r="AF117" s="39"/>
      <c r="AG117" s="40"/>
      <c r="AH117" s="114"/>
      <c r="AI117" s="109">
        <v>46225</v>
      </c>
      <c r="AJ117" s="116"/>
      <c r="AK117" s="41"/>
      <c r="AL117" s="33"/>
      <c r="AM117" s="33"/>
      <c r="AN117" s="42"/>
      <c r="AO117" s="108">
        <v>805</v>
      </c>
      <c r="AP117" s="113">
        <v>46166</v>
      </c>
      <c r="AQ117" s="109">
        <v>46225</v>
      </c>
      <c r="AR117" s="110" t="s">
        <v>445</v>
      </c>
      <c r="AS117" s="110"/>
    </row>
    <row r="118" spans="1:45" x14ac:dyDescent="0.2">
      <c r="A118" s="60"/>
      <c r="B118" s="33">
        <v>180</v>
      </c>
      <c r="C118" s="34">
        <v>806</v>
      </c>
      <c r="D118" s="34" t="s">
        <v>891</v>
      </c>
      <c r="E118" s="34"/>
      <c r="F118" s="34" t="s">
        <v>633</v>
      </c>
      <c r="G118" s="34" t="s">
        <v>634</v>
      </c>
      <c r="H118" s="34" t="s">
        <v>635</v>
      </c>
      <c r="I118" s="34"/>
      <c r="J118" s="34"/>
      <c r="K118" s="34"/>
      <c r="L118" s="34"/>
      <c r="M118" s="34" t="s">
        <v>58</v>
      </c>
      <c r="N118" s="34"/>
      <c r="O118" s="34" t="s">
        <v>11</v>
      </c>
      <c r="P118" s="35"/>
      <c r="Q118" s="35">
        <v>6952500</v>
      </c>
      <c r="R118" s="35"/>
      <c r="S118" s="35">
        <v>5562000</v>
      </c>
      <c r="T118" s="35"/>
      <c r="U118" s="35">
        <f>Q118-S118</f>
        <v>1390500</v>
      </c>
      <c r="V118" s="36"/>
      <c r="W118" s="37"/>
      <c r="X118" s="35" t="e">
        <f>VLOOKUP(C118,Banorte!F:K,6,FALSE)</f>
        <v>#N/A</v>
      </c>
      <c r="Y118" s="35"/>
      <c r="Z118" s="35" t="e">
        <f>X118-Y118</f>
        <v>#N/A</v>
      </c>
      <c r="AA118" s="38"/>
      <c r="AB118" s="34"/>
      <c r="AC118" s="43"/>
      <c r="AD118" s="44"/>
      <c r="AE118" s="33"/>
      <c r="AF118" s="39"/>
      <c r="AG118" s="40"/>
      <c r="AH118" s="114"/>
      <c r="AI118" s="109">
        <v>46225</v>
      </c>
      <c r="AJ118" s="116"/>
      <c r="AK118" s="41"/>
      <c r="AL118" s="33"/>
      <c r="AM118" s="33"/>
      <c r="AN118" s="42"/>
      <c r="AO118" s="108">
        <v>806</v>
      </c>
      <c r="AP118" s="113">
        <v>46166</v>
      </c>
      <c r="AQ118" s="109">
        <v>46225</v>
      </c>
      <c r="AR118" s="110" t="s">
        <v>58</v>
      </c>
      <c r="AS118" s="110"/>
    </row>
    <row r="119" spans="1:45" x14ac:dyDescent="0.2">
      <c r="A119" s="60"/>
      <c r="B119" s="33">
        <v>86</v>
      </c>
      <c r="C119" s="33">
        <v>807</v>
      </c>
      <c r="D119" s="33" t="s">
        <v>890</v>
      </c>
      <c r="E119" s="34"/>
      <c r="F119" s="34" t="s">
        <v>386</v>
      </c>
      <c r="G119" s="34" t="s">
        <v>387</v>
      </c>
      <c r="H119" s="34"/>
      <c r="I119" s="34"/>
      <c r="J119" s="34"/>
      <c r="K119" s="34"/>
      <c r="L119" s="34"/>
      <c r="M119" s="34" t="s">
        <v>445</v>
      </c>
      <c r="N119" s="34"/>
      <c r="O119" s="34" t="s">
        <v>11</v>
      </c>
      <c r="P119" s="35">
        <v>318600</v>
      </c>
      <c r="Q119" s="35">
        <f>P119*$U$3</f>
        <v>5894100</v>
      </c>
      <c r="R119" s="35">
        <v>121940</v>
      </c>
      <c r="S119" s="35"/>
      <c r="T119" s="35">
        <f>P119-R119</f>
        <v>196660</v>
      </c>
      <c r="U119" s="35">
        <f>T119*U$3</f>
        <v>3638210</v>
      </c>
      <c r="V119" s="36"/>
      <c r="W119" s="37" t="s">
        <v>55</v>
      </c>
      <c r="X119" s="35" t="e">
        <f>VLOOKUP(C119,Banorte!F:K,6,FALSE)</f>
        <v>#N/A</v>
      </c>
      <c r="Y119" s="35"/>
      <c r="Z119" s="35" t="e">
        <f>X119-Y119</f>
        <v>#N/A</v>
      </c>
      <c r="AA119" s="37"/>
      <c r="AB119" s="34"/>
      <c r="AC119" s="43"/>
      <c r="AD119" s="44"/>
      <c r="AE119" s="34"/>
      <c r="AF119" s="39"/>
      <c r="AG119" s="40"/>
      <c r="AH119" s="114"/>
      <c r="AI119" s="109">
        <v>46225</v>
      </c>
      <c r="AJ119" s="116"/>
      <c r="AK119" s="41"/>
      <c r="AL119" s="33"/>
      <c r="AM119" s="33"/>
      <c r="AN119" s="42"/>
      <c r="AO119" s="108">
        <v>807</v>
      </c>
      <c r="AP119" s="113">
        <v>46166</v>
      </c>
      <c r="AQ119" s="109">
        <v>46225</v>
      </c>
      <c r="AR119" s="110" t="s">
        <v>445</v>
      </c>
      <c r="AS119" s="110"/>
    </row>
    <row r="120" spans="1:45" x14ac:dyDescent="0.2">
      <c r="A120" s="60"/>
      <c r="B120" s="33">
        <v>87</v>
      </c>
      <c r="C120" s="33">
        <v>808</v>
      </c>
      <c r="D120" s="33" t="s">
        <v>890</v>
      </c>
      <c r="E120" s="34"/>
      <c r="F120" s="34" t="s">
        <v>388</v>
      </c>
      <c r="G120" s="34" t="s">
        <v>389</v>
      </c>
      <c r="H120" s="34"/>
      <c r="I120" s="34"/>
      <c r="J120" s="34"/>
      <c r="K120" s="34"/>
      <c r="L120" s="34"/>
      <c r="M120" s="34" t="s">
        <v>445</v>
      </c>
      <c r="N120" s="34"/>
      <c r="O120" s="34" t="s">
        <v>11</v>
      </c>
      <c r="P120" s="35">
        <v>318600</v>
      </c>
      <c r="Q120" s="35">
        <f>P120*$U$3</f>
        <v>5894100</v>
      </c>
      <c r="R120" s="35">
        <v>121940</v>
      </c>
      <c r="S120" s="35"/>
      <c r="T120" s="35">
        <f>P120-R120</f>
        <v>196660</v>
      </c>
      <c r="U120" s="35">
        <f>T120*U$3</f>
        <v>3638210</v>
      </c>
      <c r="V120" s="36"/>
      <c r="W120" s="37" t="s">
        <v>55</v>
      </c>
      <c r="X120" s="35" t="e">
        <f>VLOOKUP(C120,Banorte!F:K,6,FALSE)</f>
        <v>#N/A</v>
      </c>
      <c r="Y120" s="35"/>
      <c r="Z120" s="35" t="e">
        <f>X120-Y120</f>
        <v>#N/A</v>
      </c>
      <c r="AA120" s="38"/>
      <c r="AB120" s="34"/>
      <c r="AC120" s="43"/>
      <c r="AD120" s="44"/>
      <c r="AE120" s="33"/>
      <c r="AF120" s="39"/>
      <c r="AG120" s="40"/>
      <c r="AH120" s="114"/>
      <c r="AI120" s="109">
        <v>46225</v>
      </c>
      <c r="AJ120" s="116"/>
      <c r="AK120" s="41"/>
      <c r="AL120" s="33"/>
      <c r="AM120" s="33"/>
      <c r="AN120" s="42"/>
      <c r="AO120" s="108">
        <v>808</v>
      </c>
      <c r="AP120" s="113">
        <v>46166</v>
      </c>
      <c r="AQ120" s="109">
        <v>46225</v>
      </c>
      <c r="AR120" s="110" t="s">
        <v>445</v>
      </c>
      <c r="AS120" s="110"/>
    </row>
    <row r="121" spans="1:45" x14ac:dyDescent="0.2">
      <c r="A121" s="60"/>
      <c r="B121" s="33">
        <v>181</v>
      </c>
      <c r="C121" s="34">
        <v>809</v>
      </c>
      <c r="D121" s="34" t="s">
        <v>891</v>
      </c>
      <c r="E121" s="34"/>
      <c r="F121" s="34" t="s">
        <v>636</v>
      </c>
      <c r="G121" s="34" t="s">
        <v>637</v>
      </c>
      <c r="H121" s="34"/>
      <c r="I121" s="34"/>
      <c r="J121" s="34"/>
      <c r="K121" s="34"/>
      <c r="L121" s="34"/>
      <c r="M121" s="34" t="s">
        <v>58</v>
      </c>
      <c r="N121" s="34"/>
      <c r="O121" s="34" t="s">
        <v>11</v>
      </c>
      <c r="P121" s="35"/>
      <c r="Q121" s="35">
        <v>9391500</v>
      </c>
      <c r="R121" s="35"/>
      <c r="S121" s="35">
        <v>2843144.9</v>
      </c>
      <c r="T121" s="35"/>
      <c r="U121" s="35">
        <f>Q121-S121</f>
        <v>6548355.0999999996</v>
      </c>
      <c r="V121" s="36"/>
      <c r="W121" s="37"/>
      <c r="X121" s="35" t="e">
        <f>VLOOKUP(C121,Banorte!F:K,6,FALSE)</f>
        <v>#N/A</v>
      </c>
      <c r="Y121" s="35"/>
      <c r="Z121" s="35" t="e">
        <f>X121-Y121</f>
        <v>#N/A</v>
      </c>
      <c r="AA121" s="37"/>
      <c r="AB121" s="34"/>
      <c r="AC121" s="43"/>
      <c r="AD121" s="44"/>
      <c r="AE121" s="34"/>
      <c r="AF121" s="39"/>
      <c r="AG121" s="40"/>
      <c r="AH121" s="114"/>
      <c r="AI121" s="109">
        <v>46225</v>
      </c>
      <c r="AJ121" s="116"/>
      <c r="AK121" s="41"/>
      <c r="AL121" s="33"/>
      <c r="AM121" s="33"/>
      <c r="AN121" s="42"/>
      <c r="AO121" s="108">
        <v>809</v>
      </c>
      <c r="AP121" s="113">
        <v>46166</v>
      </c>
      <c r="AQ121" s="109">
        <v>46225</v>
      </c>
      <c r="AR121" s="110" t="s">
        <v>58</v>
      </c>
      <c r="AS121" s="110"/>
    </row>
    <row r="122" spans="1:45" x14ac:dyDescent="0.2">
      <c r="A122" s="60"/>
      <c r="B122" s="33">
        <v>88</v>
      </c>
      <c r="C122" s="33">
        <v>810</v>
      </c>
      <c r="D122" s="33" t="s">
        <v>890</v>
      </c>
      <c r="E122" s="34"/>
      <c r="F122" s="34" t="s">
        <v>390</v>
      </c>
      <c r="G122" s="34" t="s">
        <v>391</v>
      </c>
      <c r="H122" s="34"/>
      <c r="I122" s="34"/>
      <c r="J122" s="34"/>
      <c r="K122" s="34"/>
      <c r="L122" s="34"/>
      <c r="M122" s="34" t="s">
        <v>53</v>
      </c>
      <c r="N122" s="34"/>
      <c r="O122" s="34" t="s">
        <v>11</v>
      </c>
      <c r="P122" s="35">
        <v>318600</v>
      </c>
      <c r="Q122" s="35">
        <f>P122*$U$3</f>
        <v>5894100</v>
      </c>
      <c r="R122" s="35">
        <v>121940</v>
      </c>
      <c r="S122" s="35"/>
      <c r="T122" s="35">
        <f>P122-R122</f>
        <v>196660</v>
      </c>
      <c r="U122" s="35">
        <f>T122*U$3</f>
        <v>3638210</v>
      </c>
      <c r="V122" s="36"/>
      <c r="W122" s="37"/>
      <c r="X122" s="35" t="e">
        <f>VLOOKUP(C122,Banorte!F:K,6,FALSE)</f>
        <v>#N/A</v>
      </c>
      <c r="Y122" s="35"/>
      <c r="Z122" s="35" t="e">
        <f>X122-Y122</f>
        <v>#N/A</v>
      </c>
      <c r="AA122" s="37"/>
      <c r="AB122" s="34"/>
      <c r="AC122" s="43"/>
      <c r="AD122" s="44"/>
      <c r="AE122" s="34"/>
      <c r="AF122" s="39"/>
      <c r="AG122" s="40"/>
      <c r="AH122" s="114"/>
      <c r="AI122" s="109">
        <v>46225</v>
      </c>
      <c r="AJ122" s="116"/>
      <c r="AK122" s="41"/>
      <c r="AL122" s="33"/>
      <c r="AM122" s="33"/>
      <c r="AN122" s="42"/>
      <c r="AO122" s="108">
        <v>810</v>
      </c>
      <c r="AP122" s="113">
        <v>46166</v>
      </c>
      <c r="AQ122" s="109">
        <v>46225</v>
      </c>
      <c r="AR122" s="110" t="s">
        <v>53</v>
      </c>
      <c r="AS122" s="110"/>
    </row>
    <row r="123" spans="1:45" x14ac:dyDescent="0.2">
      <c r="A123" s="60"/>
      <c r="B123" s="33">
        <v>182</v>
      </c>
      <c r="C123" s="34">
        <v>811</v>
      </c>
      <c r="D123" s="34" t="s">
        <v>891</v>
      </c>
      <c r="E123" s="34"/>
      <c r="F123" s="34" t="s">
        <v>638</v>
      </c>
      <c r="G123" s="34" t="s">
        <v>639</v>
      </c>
      <c r="H123" s="34" t="s">
        <v>640</v>
      </c>
      <c r="I123" s="34"/>
      <c r="J123" s="34"/>
      <c r="K123" s="34"/>
      <c r="L123" s="34"/>
      <c r="M123" s="34" t="s">
        <v>58</v>
      </c>
      <c r="N123" s="34"/>
      <c r="O123" s="34" t="s">
        <v>11</v>
      </c>
      <c r="P123" s="35"/>
      <c r="Q123" s="35">
        <v>8027500</v>
      </c>
      <c r="R123" s="35"/>
      <c r="S123" s="35">
        <v>8027500</v>
      </c>
      <c r="T123" s="35"/>
      <c r="U123" s="35">
        <f>Q123-S123</f>
        <v>0</v>
      </c>
      <c r="V123" s="36"/>
      <c r="W123" s="37"/>
      <c r="X123" s="35" t="e">
        <f>VLOOKUP(C123,Banorte!F:K,6,FALSE)</f>
        <v>#N/A</v>
      </c>
      <c r="Y123" s="35"/>
      <c r="Z123" s="35" t="e">
        <f>X123-Y123</f>
        <v>#N/A</v>
      </c>
      <c r="AA123" s="37"/>
      <c r="AB123" s="34"/>
      <c r="AC123" s="43"/>
      <c r="AD123" s="44"/>
      <c r="AE123" s="34"/>
      <c r="AF123" s="39"/>
      <c r="AG123" s="40"/>
      <c r="AH123" s="114"/>
      <c r="AI123" s="109">
        <v>46225</v>
      </c>
      <c r="AJ123" s="116"/>
      <c r="AK123" s="41"/>
      <c r="AL123" s="33"/>
      <c r="AM123" s="33"/>
      <c r="AN123" s="42"/>
      <c r="AO123" s="112">
        <v>811</v>
      </c>
      <c r="AP123" s="113">
        <v>46166</v>
      </c>
      <c r="AQ123" s="109">
        <v>46225</v>
      </c>
      <c r="AR123" s="110" t="s">
        <v>58</v>
      </c>
      <c r="AS123" s="110" t="s">
        <v>34</v>
      </c>
    </row>
    <row r="124" spans="1:45" x14ac:dyDescent="0.2">
      <c r="A124" s="60"/>
      <c r="B124" s="33">
        <v>89</v>
      </c>
      <c r="C124" s="33">
        <v>812</v>
      </c>
      <c r="D124" s="33" t="s">
        <v>890</v>
      </c>
      <c r="E124" s="34"/>
      <c r="F124" s="34" t="s">
        <v>392</v>
      </c>
      <c r="G124" s="34" t="s">
        <v>393</v>
      </c>
      <c r="H124" s="34"/>
      <c r="I124" s="34"/>
      <c r="J124" s="34"/>
      <c r="K124" s="34"/>
      <c r="L124" s="34"/>
      <c r="M124" s="34" t="s">
        <v>53</v>
      </c>
      <c r="N124" s="34"/>
      <c r="O124" s="34" t="s">
        <v>11</v>
      </c>
      <c r="P124" s="35">
        <v>318600</v>
      </c>
      <c r="Q124" s="35">
        <f>P124*$U$3</f>
        <v>5894100</v>
      </c>
      <c r="R124" s="35">
        <v>121940</v>
      </c>
      <c r="S124" s="35"/>
      <c r="T124" s="35">
        <f>P124-R124</f>
        <v>196660</v>
      </c>
      <c r="U124" s="35">
        <f>T124*U$3</f>
        <v>3638210</v>
      </c>
      <c r="V124" s="36"/>
      <c r="W124" s="37"/>
      <c r="X124" s="35" t="e">
        <f>VLOOKUP(C124,Banorte!F:K,6,FALSE)</f>
        <v>#N/A</v>
      </c>
      <c r="Y124" s="35"/>
      <c r="Z124" s="35" t="e">
        <f>X124-Y124</f>
        <v>#N/A</v>
      </c>
      <c r="AA124" s="38"/>
      <c r="AB124" s="34"/>
      <c r="AC124" s="43"/>
      <c r="AD124" s="44"/>
      <c r="AE124" s="33"/>
      <c r="AF124" s="39"/>
      <c r="AG124" s="40"/>
      <c r="AH124" s="114"/>
      <c r="AI124" s="109">
        <v>46225</v>
      </c>
      <c r="AJ124" s="116"/>
      <c r="AK124" s="41"/>
      <c r="AL124" s="33"/>
      <c r="AM124" s="33"/>
      <c r="AN124" s="42"/>
      <c r="AO124" s="108">
        <v>812</v>
      </c>
      <c r="AP124" s="113">
        <v>46166</v>
      </c>
      <c r="AQ124" s="109">
        <v>46225</v>
      </c>
      <c r="AR124" s="110" t="s">
        <v>53</v>
      </c>
      <c r="AS124" s="110"/>
    </row>
    <row r="125" spans="1:45" x14ac:dyDescent="0.2">
      <c r="A125" s="60"/>
      <c r="B125" s="33">
        <v>90</v>
      </c>
      <c r="C125" s="33">
        <v>813</v>
      </c>
      <c r="D125" s="33" t="s">
        <v>890</v>
      </c>
      <c r="E125" s="34"/>
      <c r="F125" s="34" t="s">
        <v>394</v>
      </c>
      <c r="G125" s="34" t="s">
        <v>395</v>
      </c>
      <c r="H125" s="34"/>
      <c r="I125" s="34"/>
      <c r="J125" s="34"/>
      <c r="K125" s="34"/>
      <c r="L125" s="34"/>
      <c r="M125" s="34" t="s">
        <v>53</v>
      </c>
      <c r="N125" s="34"/>
      <c r="O125" s="34" t="s">
        <v>11</v>
      </c>
      <c r="P125" s="35">
        <v>381000</v>
      </c>
      <c r="Q125" s="35">
        <f>P125*$U$3</f>
        <v>7048500</v>
      </c>
      <c r="R125" s="35">
        <v>142200</v>
      </c>
      <c r="S125" s="35"/>
      <c r="T125" s="35">
        <f>P125-R125</f>
        <v>238800</v>
      </c>
      <c r="U125" s="35">
        <f>T125*U$3</f>
        <v>4417800</v>
      </c>
      <c r="V125" s="36"/>
      <c r="W125" s="37"/>
      <c r="X125" s="35" t="e">
        <f>VLOOKUP(C125,Banorte!F:K,6,FALSE)</f>
        <v>#N/A</v>
      </c>
      <c r="Y125" s="35"/>
      <c r="Z125" s="35" t="e">
        <f>X125-Y125</f>
        <v>#N/A</v>
      </c>
      <c r="AA125" s="37"/>
      <c r="AB125" s="34"/>
      <c r="AC125" s="43"/>
      <c r="AD125" s="44"/>
      <c r="AE125" s="34"/>
      <c r="AF125" s="39"/>
      <c r="AG125" s="40"/>
      <c r="AH125" s="114"/>
      <c r="AI125" s="109">
        <v>46225</v>
      </c>
      <c r="AJ125" s="116"/>
      <c r="AK125" s="41"/>
      <c r="AL125" s="33"/>
      <c r="AM125" s="33"/>
      <c r="AN125" s="42"/>
      <c r="AO125" s="108">
        <v>813</v>
      </c>
      <c r="AP125" s="113">
        <v>46166</v>
      </c>
      <c r="AQ125" s="109">
        <v>46225</v>
      </c>
      <c r="AR125" s="110" t="s">
        <v>53</v>
      </c>
      <c r="AS125" s="110"/>
    </row>
    <row r="126" spans="1:45" x14ac:dyDescent="0.2">
      <c r="A126" s="60"/>
      <c r="B126" s="33">
        <v>91</v>
      </c>
      <c r="C126" s="33">
        <v>814</v>
      </c>
      <c r="D126" s="33" t="s">
        <v>890</v>
      </c>
      <c r="E126" s="34"/>
      <c r="F126" s="34" t="s">
        <v>396</v>
      </c>
      <c r="G126" s="34" t="s">
        <v>397</v>
      </c>
      <c r="H126" s="34"/>
      <c r="I126" s="34"/>
      <c r="J126" s="34"/>
      <c r="K126" s="34"/>
      <c r="L126" s="34"/>
      <c r="M126" s="34" t="s">
        <v>445</v>
      </c>
      <c r="N126" s="34"/>
      <c r="O126" s="34" t="s">
        <v>11</v>
      </c>
      <c r="P126" s="35">
        <v>381000</v>
      </c>
      <c r="Q126" s="35">
        <f>P126*$U$3</f>
        <v>7048500</v>
      </c>
      <c r="R126" s="35">
        <v>134420</v>
      </c>
      <c r="S126" s="35"/>
      <c r="T126" s="35">
        <f>P126-R126</f>
        <v>246580</v>
      </c>
      <c r="U126" s="35">
        <f>T126*U$3</f>
        <v>4561730</v>
      </c>
      <c r="V126" s="36"/>
      <c r="W126" s="37" t="s">
        <v>55</v>
      </c>
      <c r="X126" s="35" t="e">
        <f>VLOOKUP(C126,Banorte!F:K,6,FALSE)</f>
        <v>#N/A</v>
      </c>
      <c r="Y126" s="35"/>
      <c r="Z126" s="35" t="e">
        <f>X126-Y126</f>
        <v>#N/A</v>
      </c>
      <c r="AA126" s="37"/>
      <c r="AB126" s="34"/>
      <c r="AC126" s="43"/>
      <c r="AD126" s="44"/>
      <c r="AE126" s="34"/>
      <c r="AF126" s="39"/>
      <c r="AG126" s="40"/>
      <c r="AH126" s="114"/>
      <c r="AI126" s="109">
        <v>46225</v>
      </c>
      <c r="AJ126" s="116"/>
      <c r="AK126" s="41"/>
      <c r="AL126" s="33"/>
      <c r="AM126" s="33"/>
      <c r="AN126" s="42"/>
      <c r="AO126" s="108">
        <v>814</v>
      </c>
      <c r="AP126" s="113">
        <v>46166</v>
      </c>
      <c r="AQ126" s="109">
        <v>46225</v>
      </c>
      <c r="AR126" s="110" t="s">
        <v>445</v>
      </c>
      <c r="AS126" s="110"/>
    </row>
    <row r="127" spans="1:45" x14ac:dyDescent="0.2">
      <c r="A127" s="60"/>
      <c r="B127" s="33">
        <v>183</v>
      </c>
      <c r="C127" s="34">
        <v>815</v>
      </c>
      <c r="D127" s="34" t="s">
        <v>891</v>
      </c>
      <c r="E127" s="34"/>
      <c r="F127" s="34" t="s">
        <v>641</v>
      </c>
      <c r="G127" s="34" t="s">
        <v>67</v>
      </c>
      <c r="H127" s="34" t="s">
        <v>642</v>
      </c>
      <c r="I127" s="34"/>
      <c r="J127" s="34"/>
      <c r="K127" s="34"/>
      <c r="L127" s="34"/>
      <c r="M127" s="34" t="s">
        <v>58</v>
      </c>
      <c r="N127" s="34"/>
      <c r="O127" s="34" t="s">
        <v>11</v>
      </c>
      <c r="P127" s="35"/>
      <c r="Q127" s="35">
        <v>7107000</v>
      </c>
      <c r="R127" s="35"/>
      <c r="S127" s="35">
        <v>2132100</v>
      </c>
      <c r="T127" s="35"/>
      <c r="U127" s="35">
        <f>Q127-S127</f>
        <v>4974900</v>
      </c>
      <c r="V127" s="36"/>
      <c r="W127" s="37"/>
      <c r="X127" s="35" t="e">
        <f>VLOOKUP(C127,Banorte!F:K,6,FALSE)</f>
        <v>#N/A</v>
      </c>
      <c r="Y127" s="35"/>
      <c r="Z127" s="35" t="e">
        <f>X127-Y127</f>
        <v>#N/A</v>
      </c>
      <c r="AA127" s="38"/>
      <c r="AB127" s="34"/>
      <c r="AC127" s="43"/>
      <c r="AD127" s="44"/>
      <c r="AE127" s="33"/>
      <c r="AF127" s="39"/>
      <c r="AG127" s="40"/>
      <c r="AH127" s="114"/>
      <c r="AI127" s="109">
        <v>46225</v>
      </c>
      <c r="AJ127" s="116"/>
      <c r="AK127" s="41"/>
      <c r="AL127" s="33"/>
      <c r="AM127" s="33"/>
      <c r="AN127" s="42"/>
      <c r="AO127" s="108">
        <v>815</v>
      </c>
      <c r="AP127" s="113">
        <v>46166</v>
      </c>
      <c r="AQ127" s="109">
        <v>46225</v>
      </c>
      <c r="AR127" s="110" t="s">
        <v>58</v>
      </c>
      <c r="AS127" s="110"/>
    </row>
    <row r="128" spans="1:45" x14ac:dyDescent="0.2">
      <c r="A128" s="60"/>
      <c r="B128" s="33">
        <v>92</v>
      </c>
      <c r="C128" s="33">
        <v>816</v>
      </c>
      <c r="D128" s="33" t="s">
        <v>890</v>
      </c>
      <c r="E128" s="34"/>
      <c r="F128" s="34" t="s">
        <v>398</v>
      </c>
      <c r="G128" s="34" t="s">
        <v>399</v>
      </c>
      <c r="H128" s="34"/>
      <c r="I128" s="34"/>
      <c r="J128" s="34"/>
      <c r="K128" s="34"/>
      <c r="L128" s="34"/>
      <c r="M128" s="34" t="s">
        <v>445</v>
      </c>
      <c r="N128" s="34"/>
      <c r="O128" s="34" t="s">
        <v>11</v>
      </c>
      <c r="P128" s="35">
        <v>318600</v>
      </c>
      <c r="Q128" s="35">
        <f>P128*$U$3</f>
        <v>5894100</v>
      </c>
      <c r="R128" s="35">
        <v>318100</v>
      </c>
      <c r="S128" s="35"/>
      <c r="T128" s="35">
        <f>P128-R128</f>
        <v>500</v>
      </c>
      <c r="U128" s="35">
        <f>T128*U$3</f>
        <v>9250</v>
      </c>
      <c r="V128" s="36"/>
      <c r="W128" s="37" t="s">
        <v>55</v>
      </c>
      <c r="X128" s="35" t="e">
        <f>VLOOKUP(C128,Banorte!F:K,6,FALSE)</f>
        <v>#N/A</v>
      </c>
      <c r="Y128" s="35"/>
      <c r="Z128" s="35" t="e">
        <f>X128-Y128</f>
        <v>#N/A</v>
      </c>
      <c r="AA128" s="38"/>
      <c r="AB128" s="34"/>
      <c r="AC128" s="43"/>
      <c r="AD128" s="44"/>
      <c r="AE128" s="33"/>
      <c r="AF128" s="39"/>
      <c r="AG128" s="40"/>
      <c r="AH128" s="114"/>
      <c r="AI128" s="109">
        <v>46225</v>
      </c>
      <c r="AJ128" s="116"/>
      <c r="AK128" s="41"/>
      <c r="AL128" s="33"/>
      <c r="AM128" s="33"/>
      <c r="AN128" s="42"/>
      <c r="AO128" s="112">
        <v>816</v>
      </c>
      <c r="AP128" s="113">
        <v>46166</v>
      </c>
      <c r="AQ128" s="109">
        <v>46225</v>
      </c>
      <c r="AR128" s="110" t="s">
        <v>445</v>
      </c>
      <c r="AS128" s="110" t="s">
        <v>34</v>
      </c>
    </row>
    <row r="129" spans="1:45" x14ac:dyDescent="0.2">
      <c r="A129" s="60"/>
      <c r="B129" s="33">
        <v>184</v>
      </c>
      <c r="C129" s="34">
        <v>817</v>
      </c>
      <c r="D129" s="34" t="s">
        <v>891</v>
      </c>
      <c r="E129" s="34"/>
      <c r="F129" s="34" t="s">
        <v>643</v>
      </c>
      <c r="G129" s="34" t="s">
        <v>99</v>
      </c>
      <c r="H129" s="34" t="s">
        <v>97</v>
      </c>
      <c r="I129" s="34"/>
      <c r="J129" s="34"/>
      <c r="K129" s="34"/>
      <c r="L129" s="34"/>
      <c r="M129" s="34" t="s">
        <v>58</v>
      </c>
      <c r="N129" s="34"/>
      <c r="O129" s="34" t="s">
        <v>11</v>
      </c>
      <c r="P129" s="35"/>
      <c r="Q129" s="35">
        <v>6023700</v>
      </c>
      <c r="R129" s="35"/>
      <c r="S129" s="35">
        <v>6023700</v>
      </c>
      <c r="T129" s="35"/>
      <c r="U129" s="35">
        <f>Q129-S129</f>
        <v>0</v>
      </c>
      <c r="V129" s="36"/>
      <c r="W129" s="37"/>
      <c r="X129" s="35" t="e">
        <f>VLOOKUP(C129,Banorte!F:K,6,FALSE)</f>
        <v>#N/A</v>
      </c>
      <c r="Y129" s="35"/>
      <c r="Z129" s="35" t="e">
        <f>X129-Y129</f>
        <v>#N/A</v>
      </c>
      <c r="AA129" s="37"/>
      <c r="AB129" s="34"/>
      <c r="AC129" s="43"/>
      <c r="AD129" s="44"/>
      <c r="AE129" s="34"/>
      <c r="AF129" s="39"/>
      <c r="AG129" s="40"/>
      <c r="AH129" s="114"/>
      <c r="AI129" s="109">
        <v>46225</v>
      </c>
      <c r="AJ129" s="116"/>
      <c r="AK129" s="41"/>
      <c r="AL129" s="33"/>
      <c r="AM129" s="33"/>
      <c r="AN129" s="42"/>
      <c r="AO129" s="112">
        <v>817</v>
      </c>
      <c r="AP129" s="113">
        <v>46166</v>
      </c>
      <c r="AQ129" s="109">
        <v>46225</v>
      </c>
      <c r="AR129" s="110" t="s">
        <v>58</v>
      </c>
      <c r="AS129" s="110" t="s">
        <v>34</v>
      </c>
    </row>
    <row r="130" spans="1:45" x14ac:dyDescent="0.2">
      <c r="A130" s="60"/>
      <c r="B130" s="33">
        <v>93</v>
      </c>
      <c r="C130" s="33">
        <v>901</v>
      </c>
      <c r="D130" s="33" t="s">
        <v>890</v>
      </c>
      <c r="E130" s="34"/>
      <c r="F130" s="34" t="s">
        <v>400</v>
      </c>
      <c r="G130" s="34" t="s">
        <v>73</v>
      </c>
      <c r="H130" s="34"/>
      <c r="I130" s="34"/>
      <c r="J130" s="34"/>
      <c r="K130" s="34"/>
      <c r="L130" s="34"/>
      <c r="M130" s="34" t="s">
        <v>445</v>
      </c>
      <c r="N130" s="34"/>
      <c r="O130" s="34" t="s">
        <v>11</v>
      </c>
      <c r="P130" s="35">
        <v>322100</v>
      </c>
      <c r="Q130" s="35">
        <f>P130*$U$3</f>
        <v>5958850</v>
      </c>
      <c r="R130" s="35">
        <v>122640</v>
      </c>
      <c r="S130" s="35"/>
      <c r="T130" s="35">
        <f>P130-R130</f>
        <v>199460</v>
      </c>
      <c r="U130" s="35">
        <f>T130*U$3</f>
        <v>3690010</v>
      </c>
      <c r="V130" s="36"/>
      <c r="W130" s="37" t="s">
        <v>55</v>
      </c>
      <c r="X130" s="35" t="e">
        <f>VLOOKUP(C130,Banorte!F:K,6,FALSE)</f>
        <v>#N/A</v>
      </c>
      <c r="Y130" s="35"/>
      <c r="Z130" s="35" t="e">
        <f>X130-Y130</f>
        <v>#N/A</v>
      </c>
      <c r="AA130" s="37"/>
      <c r="AB130" s="34"/>
      <c r="AC130" s="43"/>
      <c r="AD130" s="44"/>
      <c r="AE130" s="34"/>
      <c r="AF130" s="39"/>
      <c r="AG130" s="40"/>
      <c r="AH130" s="114"/>
      <c r="AI130" s="109">
        <v>46170</v>
      </c>
      <c r="AJ130" s="116"/>
      <c r="AK130" s="41"/>
      <c r="AL130" s="33"/>
      <c r="AM130" s="33"/>
      <c r="AN130" s="42"/>
      <c r="AO130" s="108">
        <v>901</v>
      </c>
      <c r="AP130" s="113">
        <v>46129</v>
      </c>
      <c r="AQ130" s="109">
        <v>46170</v>
      </c>
      <c r="AR130" s="110" t="s">
        <v>445</v>
      </c>
      <c r="AS130" s="110"/>
    </row>
    <row r="131" spans="1:45" x14ac:dyDescent="0.2">
      <c r="A131" s="60"/>
      <c r="B131" s="33">
        <v>185</v>
      </c>
      <c r="C131" s="34">
        <v>902</v>
      </c>
      <c r="D131" s="34" t="s">
        <v>891</v>
      </c>
      <c r="E131" s="34"/>
      <c r="F131" s="34" t="s">
        <v>644</v>
      </c>
      <c r="G131" s="34" t="s">
        <v>645</v>
      </c>
      <c r="H131" s="34" t="s">
        <v>609</v>
      </c>
      <c r="I131" s="34"/>
      <c r="J131" s="34"/>
      <c r="K131" s="34"/>
      <c r="L131" s="34"/>
      <c r="M131" s="34" t="s">
        <v>58</v>
      </c>
      <c r="N131" s="34"/>
      <c r="O131" s="34" t="s">
        <v>11</v>
      </c>
      <c r="P131" s="35"/>
      <c r="Q131" s="35">
        <v>7172638.8099999996</v>
      </c>
      <c r="R131" s="35"/>
      <c r="S131" s="35">
        <v>4469055.5199999996</v>
      </c>
      <c r="T131" s="35"/>
      <c r="U131" s="35">
        <f>Q131-S131</f>
        <v>2703583.29</v>
      </c>
      <c r="V131" s="36"/>
      <c r="W131" s="37"/>
      <c r="X131" s="35" t="e">
        <f>VLOOKUP(C131,Banorte!F:K,6,FALSE)</f>
        <v>#N/A</v>
      </c>
      <c r="Y131" s="35"/>
      <c r="Z131" s="35" t="e">
        <f>X131-Y131</f>
        <v>#N/A</v>
      </c>
      <c r="AA131" s="37"/>
      <c r="AB131" s="34"/>
      <c r="AC131" s="43"/>
      <c r="AD131" s="44"/>
      <c r="AE131" s="34"/>
      <c r="AF131" s="39"/>
      <c r="AG131" s="40"/>
      <c r="AH131" s="114"/>
      <c r="AI131" s="109">
        <v>46170</v>
      </c>
      <c r="AJ131" s="116"/>
      <c r="AK131" s="41"/>
      <c r="AL131" s="33"/>
      <c r="AM131" s="33"/>
      <c r="AN131" s="42"/>
      <c r="AO131" s="108">
        <v>902</v>
      </c>
      <c r="AP131" s="113">
        <v>46129</v>
      </c>
      <c r="AQ131" s="109">
        <v>46170</v>
      </c>
      <c r="AR131" s="110" t="s">
        <v>58</v>
      </c>
      <c r="AS131" s="110"/>
    </row>
    <row r="132" spans="1:45" x14ac:dyDescent="0.2">
      <c r="A132" s="60"/>
      <c r="B132" s="33">
        <v>186</v>
      </c>
      <c r="C132" s="34">
        <v>903</v>
      </c>
      <c r="D132" s="34" t="s">
        <v>891</v>
      </c>
      <c r="E132" s="34"/>
      <c r="F132" s="34" t="s">
        <v>646</v>
      </c>
      <c r="G132" s="34" t="s">
        <v>647</v>
      </c>
      <c r="H132" s="34"/>
      <c r="I132" s="34"/>
      <c r="J132" s="34"/>
      <c r="K132" s="34"/>
      <c r="L132" s="34"/>
      <c r="M132" s="34" t="s">
        <v>58</v>
      </c>
      <c r="N132" s="34"/>
      <c r="O132" s="34" t="s">
        <v>11</v>
      </c>
      <c r="P132" s="35"/>
      <c r="Q132" s="35">
        <v>7616307.1900000004</v>
      </c>
      <c r="R132" s="35"/>
      <c r="S132" s="35">
        <v>2234612.2400000002</v>
      </c>
      <c r="T132" s="35"/>
      <c r="U132" s="35">
        <f>Q132-S132</f>
        <v>5381694.9500000002</v>
      </c>
      <c r="V132" s="36"/>
      <c r="W132" s="37"/>
      <c r="X132" s="35" t="e">
        <f>VLOOKUP(C132,Banorte!F:K,6,FALSE)</f>
        <v>#N/A</v>
      </c>
      <c r="Y132" s="35"/>
      <c r="Z132" s="35" t="e">
        <f>X132-Y132</f>
        <v>#N/A</v>
      </c>
      <c r="AA132" s="38"/>
      <c r="AB132" s="34"/>
      <c r="AC132" s="43"/>
      <c r="AD132" s="44"/>
      <c r="AE132" s="33"/>
      <c r="AF132" s="39"/>
      <c r="AG132" s="40"/>
      <c r="AH132" s="114"/>
      <c r="AI132" s="109">
        <v>46170</v>
      </c>
      <c r="AJ132" s="116"/>
      <c r="AK132" s="41"/>
      <c r="AL132" s="33"/>
      <c r="AM132" s="33"/>
      <c r="AN132" s="42"/>
      <c r="AO132" s="108">
        <v>903</v>
      </c>
      <c r="AP132" s="113">
        <v>46129</v>
      </c>
      <c r="AQ132" s="109">
        <v>46170</v>
      </c>
      <c r="AR132" s="110" t="s">
        <v>58</v>
      </c>
      <c r="AS132" s="110"/>
    </row>
    <row r="133" spans="1:45" x14ac:dyDescent="0.2">
      <c r="A133" s="60"/>
      <c r="B133" s="33">
        <v>94</v>
      </c>
      <c r="C133" s="33">
        <v>904</v>
      </c>
      <c r="D133" s="33" t="s">
        <v>890</v>
      </c>
      <c r="E133" s="34"/>
      <c r="F133" s="34" t="s">
        <v>401</v>
      </c>
      <c r="G133" s="34" t="s">
        <v>402</v>
      </c>
      <c r="H133" s="34"/>
      <c r="I133" s="34"/>
      <c r="J133" s="34"/>
      <c r="K133" s="34"/>
      <c r="L133" s="34"/>
      <c r="M133" s="34" t="s">
        <v>445</v>
      </c>
      <c r="N133" s="34"/>
      <c r="O133" s="34" t="s">
        <v>11</v>
      </c>
      <c r="P133" s="35">
        <v>384500</v>
      </c>
      <c r="Q133" s="35">
        <f>P133*$U$3</f>
        <v>7113250</v>
      </c>
      <c r="R133" s="35">
        <v>135120</v>
      </c>
      <c r="S133" s="35"/>
      <c r="T133" s="35">
        <f>P133-R133</f>
        <v>249380</v>
      </c>
      <c r="U133" s="35">
        <f>T133*U$3</f>
        <v>4613530</v>
      </c>
      <c r="V133" s="36"/>
      <c r="W133" s="37" t="s">
        <v>55</v>
      </c>
      <c r="X133" s="35" t="e">
        <f>VLOOKUP(C133,Banorte!F:K,6,FALSE)</f>
        <v>#N/A</v>
      </c>
      <c r="Y133" s="35"/>
      <c r="Z133" s="35" t="e">
        <f>X133-Y133</f>
        <v>#N/A</v>
      </c>
      <c r="AA133" s="37"/>
      <c r="AB133" s="34"/>
      <c r="AC133" s="43"/>
      <c r="AD133" s="44"/>
      <c r="AE133" s="34"/>
      <c r="AF133" s="39"/>
      <c r="AG133" s="40"/>
      <c r="AH133" s="114"/>
      <c r="AI133" s="109">
        <v>46170</v>
      </c>
      <c r="AJ133" s="116"/>
      <c r="AK133" s="41"/>
      <c r="AL133" s="33"/>
      <c r="AM133" s="33"/>
      <c r="AN133" s="42"/>
      <c r="AO133" s="108">
        <v>904</v>
      </c>
      <c r="AP133" s="113">
        <v>46129</v>
      </c>
      <c r="AQ133" s="109">
        <v>46170</v>
      </c>
      <c r="AR133" s="110" t="s">
        <v>445</v>
      </c>
      <c r="AS133" s="110"/>
    </row>
    <row r="134" spans="1:45" x14ac:dyDescent="0.2">
      <c r="A134" s="60"/>
      <c r="B134" s="33">
        <v>95</v>
      </c>
      <c r="C134" s="33">
        <v>905</v>
      </c>
      <c r="D134" s="33" t="s">
        <v>890</v>
      </c>
      <c r="E134" s="34"/>
      <c r="F134" s="34" t="s">
        <v>403</v>
      </c>
      <c r="G134" s="34" t="s">
        <v>404</v>
      </c>
      <c r="H134" s="34"/>
      <c r="I134" s="34"/>
      <c r="J134" s="34"/>
      <c r="K134" s="34"/>
      <c r="L134" s="34"/>
      <c r="M134" s="34" t="s">
        <v>445</v>
      </c>
      <c r="N134" s="34"/>
      <c r="O134" s="34" t="s">
        <v>11</v>
      </c>
      <c r="P134" s="35">
        <v>384500</v>
      </c>
      <c r="Q134" s="35">
        <f>P134*$U$3</f>
        <v>7113250</v>
      </c>
      <c r="R134" s="35">
        <v>135240</v>
      </c>
      <c r="S134" s="35"/>
      <c r="T134" s="35">
        <f>P134-R134</f>
        <v>249260</v>
      </c>
      <c r="U134" s="35">
        <f>T134*U$3</f>
        <v>4611310</v>
      </c>
      <c r="V134" s="36"/>
      <c r="W134" s="37" t="s">
        <v>55</v>
      </c>
      <c r="X134" s="35" t="e">
        <f>VLOOKUP(C134,Banorte!F:K,6,FALSE)</f>
        <v>#N/A</v>
      </c>
      <c r="Y134" s="35"/>
      <c r="Z134" s="35" t="e">
        <f>X134-Y134</f>
        <v>#N/A</v>
      </c>
      <c r="AA134" s="38"/>
      <c r="AB134" s="34"/>
      <c r="AC134" s="43"/>
      <c r="AD134" s="44"/>
      <c r="AE134" s="33"/>
      <c r="AF134" s="39"/>
      <c r="AG134" s="40"/>
      <c r="AH134" s="114"/>
      <c r="AI134" s="109">
        <v>46170</v>
      </c>
      <c r="AJ134" s="116"/>
      <c r="AK134" s="41"/>
      <c r="AL134" s="33"/>
      <c r="AM134" s="33"/>
      <c r="AN134" s="42"/>
      <c r="AO134" s="108">
        <v>905</v>
      </c>
      <c r="AP134" s="113">
        <v>46129</v>
      </c>
      <c r="AQ134" s="109">
        <v>46170</v>
      </c>
      <c r="AR134" s="110" t="s">
        <v>445</v>
      </c>
      <c r="AS134" s="110"/>
    </row>
    <row r="135" spans="1:45" x14ac:dyDescent="0.2">
      <c r="A135" s="60"/>
      <c r="B135" s="33">
        <v>96</v>
      </c>
      <c r="C135" s="33">
        <v>906</v>
      </c>
      <c r="D135" s="33" t="s">
        <v>890</v>
      </c>
      <c r="E135" s="34"/>
      <c r="F135" s="34" t="s">
        <v>405</v>
      </c>
      <c r="G135" s="34" t="s">
        <v>406</v>
      </c>
      <c r="H135" s="34"/>
      <c r="I135" s="34"/>
      <c r="J135" s="34"/>
      <c r="K135" s="34"/>
      <c r="L135" s="34"/>
      <c r="M135" s="34" t="s">
        <v>445</v>
      </c>
      <c r="N135" s="34"/>
      <c r="O135" s="34" t="s">
        <v>11</v>
      </c>
      <c r="P135" s="35">
        <v>322100</v>
      </c>
      <c r="Q135" s="35">
        <f>P135*$U$3</f>
        <v>5958850</v>
      </c>
      <c r="R135" s="35">
        <v>122640</v>
      </c>
      <c r="S135" s="35"/>
      <c r="T135" s="35">
        <f>P135-R135</f>
        <v>199460</v>
      </c>
      <c r="U135" s="35">
        <f>T135*U$3</f>
        <v>3690010</v>
      </c>
      <c r="V135" s="36"/>
      <c r="W135" s="37" t="s">
        <v>55</v>
      </c>
      <c r="X135" s="35" t="e">
        <f>VLOOKUP(C135,Banorte!F:K,6,FALSE)</f>
        <v>#N/A</v>
      </c>
      <c r="Y135" s="35"/>
      <c r="Z135" s="35" t="e">
        <f>X135-Y135</f>
        <v>#N/A</v>
      </c>
      <c r="AA135" s="37"/>
      <c r="AB135" s="34"/>
      <c r="AC135" s="43"/>
      <c r="AD135" s="44"/>
      <c r="AE135" s="34"/>
      <c r="AF135" s="39"/>
      <c r="AG135" s="40"/>
      <c r="AH135" s="114"/>
      <c r="AI135" s="109">
        <v>46170</v>
      </c>
      <c r="AJ135" s="116"/>
      <c r="AK135" s="41"/>
      <c r="AL135" s="33"/>
      <c r="AM135" s="33"/>
      <c r="AN135" s="42"/>
      <c r="AO135" s="108">
        <v>906</v>
      </c>
      <c r="AP135" s="113">
        <v>46129</v>
      </c>
      <c r="AQ135" s="109">
        <v>46170</v>
      </c>
      <c r="AR135" s="110" t="s">
        <v>445</v>
      </c>
      <c r="AS135" s="110"/>
    </row>
    <row r="136" spans="1:45" x14ac:dyDescent="0.2">
      <c r="A136" s="60"/>
      <c r="B136" s="33">
        <v>97</v>
      </c>
      <c r="C136" s="33">
        <v>907</v>
      </c>
      <c r="D136" s="33" t="s">
        <v>890</v>
      </c>
      <c r="E136" s="34"/>
      <c r="F136" s="34" t="s">
        <v>407</v>
      </c>
      <c r="G136" s="34" t="s">
        <v>408</v>
      </c>
      <c r="H136" s="34"/>
      <c r="I136" s="34"/>
      <c r="J136" s="34"/>
      <c r="K136" s="34"/>
      <c r="L136" s="34"/>
      <c r="M136" s="34" t="s">
        <v>445</v>
      </c>
      <c r="N136" s="34"/>
      <c r="O136" s="34" t="s">
        <v>11</v>
      </c>
      <c r="P136" s="35">
        <v>322100</v>
      </c>
      <c r="Q136" s="35">
        <f>P136*$U$3</f>
        <v>5958850</v>
      </c>
      <c r="R136" s="35">
        <v>122640</v>
      </c>
      <c r="S136" s="35"/>
      <c r="T136" s="35">
        <f>P136-R136</f>
        <v>199460</v>
      </c>
      <c r="U136" s="35">
        <f>T136*U$3</f>
        <v>3690010</v>
      </c>
      <c r="V136" s="36"/>
      <c r="W136" s="37" t="s">
        <v>55</v>
      </c>
      <c r="X136" s="35" t="e">
        <f>VLOOKUP(C136,Banorte!F:K,6,FALSE)</f>
        <v>#N/A</v>
      </c>
      <c r="Y136" s="35"/>
      <c r="Z136" s="35" t="e">
        <f>X136-Y136</f>
        <v>#N/A</v>
      </c>
      <c r="AA136" s="37"/>
      <c r="AB136" s="34"/>
      <c r="AC136" s="43"/>
      <c r="AD136" s="44"/>
      <c r="AE136" s="34"/>
      <c r="AF136" s="39"/>
      <c r="AG136" s="40"/>
      <c r="AH136" s="114"/>
      <c r="AI136" s="109">
        <v>46170</v>
      </c>
      <c r="AJ136" s="116"/>
      <c r="AK136" s="41"/>
      <c r="AL136" s="33"/>
      <c r="AM136" s="33"/>
      <c r="AN136" s="42"/>
      <c r="AO136" s="108">
        <v>907</v>
      </c>
      <c r="AP136" s="113">
        <v>46129</v>
      </c>
      <c r="AQ136" s="109">
        <v>46170</v>
      </c>
      <c r="AR136" s="110" t="s">
        <v>445</v>
      </c>
      <c r="AS136" s="110"/>
    </row>
    <row r="137" spans="1:45" x14ac:dyDescent="0.2">
      <c r="A137" s="60"/>
      <c r="B137" s="33">
        <v>98</v>
      </c>
      <c r="C137" s="33">
        <v>908</v>
      </c>
      <c r="D137" s="33" t="s">
        <v>890</v>
      </c>
      <c r="E137" s="34"/>
      <c r="F137" s="34" t="s">
        <v>409</v>
      </c>
      <c r="G137" s="34" t="s">
        <v>91</v>
      </c>
      <c r="H137" s="34"/>
      <c r="I137" s="34"/>
      <c r="J137" s="34"/>
      <c r="K137" s="34"/>
      <c r="L137" s="34"/>
      <c r="M137" s="34" t="s">
        <v>445</v>
      </c>
      <c r="N137" s="34"/>
      <c r="O137" s="34" t="s">
        <v>11</v>
      </c>
      <c r="P137" s="35">
        <v>322100</v>
      </c>
      <c r="Q137" s="35">
        <f>P137*$U$3</f>
        <v>5958850</v>
      </c>
      <c r="R137" s="35">
        <v>322100</v>
      </c>
      <c r="S137" s="35"/>
      <c r="T137" s="35">
        <f>P137-R137</f>
        <v>0</v>
      </c>
      <c r="U137" s="35">
        <f>T137*U$3</f>
        <v>0</v>
      </c>
      <c r="V137" s="36"/>
      <c r="W137" s="37" t="s">
        <v>55</v>
      </c>
      <c r="X137" s="35" t="e">
        <f>VLOOKUP(C137,Banorte!F:K,6,FALSE)</f>
        <v>#N/A</v>
      </c>
      <c r="Y137" s="35"/>
      <c r="Z137" s="35" t="e">
        <f>X137-Y137</f>
        <v>#N/A</v>
      </c>
      <c r="AA137" s="38"/>
      <c r="AB137" s="34"/>
      <c r="AC137" s="43"/>
      <c r="AD137" s="44"/>
      <c r="AE137" s="33"/>
      <c r="AF137" s="39"/>
      <c r="AG137" s="40"/>
      <c r="AH137" s="114"/>
      <c r="AI137" s="109">
        <v>46170</v>
      </c>
      <c r="AJ137" s="116"/>
      <c r="AK137" s="41"/>
      <c r="AL137" s="33"/>
      <c r="AM137" s="33"/>
      <c r="AN137" s="42"/>
      <c r="AO137" s="112">
        <v>908</v>
      </c>
      <c r="AP137" s="113">
        <v>46129</v>
      </c>
      <c r="AQ137" s="109">
        <v>46170</v>
      </c>
      <c r="AR137" s="110" t="s">
        <v>445</v>
      </c>
      <c r="AS137" s="110" t="s">
        <v>34</v>
      </c>
    </row>
    <row r="138" spans="1:45" x14ac:dyDescent="0.2">
      <c r="A138" s="60"/>
      <c r="B138" s="33">
        <v>187</v>
      </c>
      <c r="C138" s="34">
        <v>909</v>
      </c>
      <c r="D138" s="34" t="s">
        <v>891</v>
      </c>
      <c r="E138" s="34"/>
      <c r="F138" s="34" t="s">
        <v>648</v>
      </c>
      <c r="G138" s="34" t="s">
        <v>649</v>
      </c>
      <c r="H138" s="34" t="s">
        <v>650</v>
      </c>
      <c r="I138" s="34"/>
      <c r="J138" s="34"/>
      <c r="K138" s="34"/>
      <c r="L138" s="34"/>
      <c r="M138" s="34" t="s">
        <v>58</v>
      </c>
      <c r="N138" s="34"/>
      <c r="O138" s="34" t="s">
        <v>11</v>
      </c>
      <c r="P138" s="35"/>
      <c r="Q138" s="35">
        <v>9451500</v>
      </c>
      <c r="R138" s="35"/>
      <c r="S138" s="35">
        <v>2835450</v>
      </c>
      <c r="T138" s="35"/>
      <c r="U138" s="35">
        <f>Q138-S138</f>
        <v>6616050</v>
      </c>
      <c r="V138" s="36"/>
      <c r="W138" s="37"/>
      <c r="X138" s="35" t="e">
        <f>VLOOKUP(C138,Banorte!F:K,6,FALSE)</f>
        <v>#N/A</v>
      </c>
      <c r="Y138" s="35"/>
      <c r="Z138" s="35" t="e">
        <f>X138-Y138</f>
        <v>#N/A</v>
      </c>
      <c r="AA138" s="37"/>
      <c r="AB138" s="34"/>
      <c r="AC138" s="43"/>
      <c r="AD138" s="44"/>
      <c r="AE138" s="34"/>
      <c r="AF138" s="39"/>
      <c r="AG138" s="40"/>
      <c r="AH138" s="114"/>
      <c r="AI138" s="109">
        <v>46170</v>
      </c>
      <c r="AJ138" s="116"/>
      <c r="AK138" s="41"/>
      <c r="AL138" s="33"/>
      <c r="AM138" s="33"/>
      <c r="AN138" s="42"/>
      <c r="AO138" s="108">
        <v>909</v>
      </c>
      <c r="AP138" s="113">
        <v>46129</v>
      </c>
      <c r="AQ138" s="109">
        <v>46170</v>
      </c>
      <c r="AR138" s="110" t="s">
        <v>58</v>
      </c>
      <c r="AS138" s="110"/>
    </row>
    <row r="139" spans="1:45" x14ac:dyDescent="0.2">
      <c r="A139" s="60"/>
      <c r="B139" s="33">
        <v>99</v>
      </c>
      <c r="C139" s="33">
        <v>910</v>
      </c>
      <c r="D139" s="33" t="s">
        <v>890</v>
      </c>
      <c r="E139" s="34"/>
      <c r="F139" s="34" t="s">
        <v>410</v>
      </c>
      <c r="G139" s="34" t="s">
        <v>411</v>
      </c>
      <c r="H139" s="34"/>
      <c r="I139" s="34"/>
      <c r="J139" s="34"/>
      <c r="K139" s="34"/>
      <c r="L139" s="34"/>
      <c r="M139" s="34" t="s">
        <v>445</v>
      </c>
      <c r="N139" s="34"/>
      <c r="O139" s="34" t="s">
        <v>11</v>
      </c>
      <c r="P139" s="35">
        <v>322100</v>
      </c>
      <c r="Q139" s="35">
        <f>P139*$U$3</f>
        <v>5958850</v>
      </c>
      <c r="R139" s="35">
        <v>122640</v>
      </c>
      <c r="S139" s="35"/>
      <c r="T139" s="35">
        <f>P139-R139</f>
        <v>199460</v>
      </c>
      <c r="U139" s="35">
        <f>T139*U$3</f>
        <v>3690010</v>
      </c>
      <c r="V139" s="36"/>
      <c r="W139" s="37" t="s">
        <v>55</v>
      </c>
      <c r="X139" s="35" t="e">
        <f>VLOOKUP(C139,Banorte!F:K,6,FALSE)</f>
        <v>#N/A</v>
      </c>
      <c r="Y139" s="35"/>
      <c r="Z139" s="35" t="e">
        <f>X139-Y139</f>
        <v>#N/A</v>
      </c>
      <c r="AA139" s="37"/>
      <c r="AB139" s="34"/>
      <c r="AC139" s="43"/>
      <c r="AD139" s="44"/>
      <c r="AE139" s="34"/>
      <c r="AF139" s="39"/>
      <c r="AG139" s="40"/>
      <c r="AH139" s="114"/>
      <c r="AI139" s="109">
        <v>46170</v>
      </c>
      <c r="AJ139" s="116"/>
      <c r="AK139" s="41"/>
      <c r="AL139" s="33"/>
      <c r="AM139" s="33"/>
      <c r="AN139" s="42"/>
      <c r="AO139" s="108">
        <v>910</v>
      </c>
      <c r="AP139" s="113">
        <v>46129</v>
      </c>
      <c r="AQ139" s="109">
        <v>46170</v>
      </c>
      <c r="AR139" s="110" t="s">
        <v>445</v>
      </c>
      <c r="AS139" s="110"/>
    </row>
    <row r="140" spans="1:45" x14ac:dyDescent="0.2">
      <c r="A140" s="60"/>
      <c r="B140" s="33">
        <v>100</v>
      </c>
      <c r="C140" s="33">
        <v>911</v>
      </c>
      <c r="D140" s="33" t="s">
        <v>890</v>
      </c>
      <c r="E140" s="34"/>
      <c r="F140" s="34" t="s">
        <v>412</v>
      </c>
      <c r="G140" s="34" t="s">
        <v>413</v>
      </c>
      <c r="H140" s="34"/>
      <c r="I140" s="34"/>
      <c r="J140" s="34"/>
      <c r="K140" s="34"/>
      <c r="L140" s="34"/>
      <c r="M140" s="34" t="s">
        <v>445</v>
      </c>
      <c r="N140" s="34"/>
      <c r="O140" s="34" t="s">
        <v>11</v>
      </c>
      <c r="P140" s="35">
        <v>322100</v>
      </c>
      <c r="Q140" s="35">
        <f>P140*$U$3</f>
        <v>5958850</v>
      </c>
      <c r="R140" s="35">
        <v>122640</v>
      </c>
      <c r="S140" s="35"/>
      <c r="T140" s="35">
        <f>P140-R140</f>
        <v>199460</v>
      </c>
      <c r="U140" s="35">
        <f>T140*U$3</f>
        <v>3690010</v>
      </c>
      <c r="V140" s="36"/>
      <c r="W140" s="37" t="s">
        <v>55</v>
      </c>
      <c r="X140" s="35" t="e">
        <f>VLOOKUP(C140,Banorte!F:K,6,FALSE)</f>
        <v>#N/A</v>
      </c>
      <c r="Y140" s="35"/>
      <c r="Z140" s="35" t="e">
        <f>X140-Y140</f>
        <v>#N/A</v>
      </c>
      <c r="AA140" s="38"/>
      <c r="AB140" s="34"/>
      <c r="AC140" s="43"/>
      <c r="AD140" s="44"/>
      <c r="AE140" s="33"/>
      <c r="AF140" s="39"/>
      <c r="AG140" s="40"/>
      <c r="AH140" s="114"/>
      <c r="AI140" s="109">
        <v>46170</v>
      </c>
      <c r="AJ140" s="116"/>
      <c r="AK140" s="41"/>
      <c r="AL140" s="33"/>
      <c r="AM140" s="33"/>
      <c r="AN140" s="42"/>
      <c r="AO140" s="108">
        <v>911</v>
      </c>
      <c r="AP140" s="113">
        <v>46129</v>
      </c>
      <c r="AQ140" s="109">
        <v>46170</v>
      </c>
      <c r="AR140" s="110" t="s">
        <v>445</v>
      </c>
      <c r="AS140" s="110"/>
    </row>
    <row r="141" spans="1:45" x14ac:dyDescent="0.2">
      <c r="A141" s="60"/>
      <c r="B141" s="33">
        <v>188</v>
      </c>
      <c r="C141" s="34">
        <v>912</v>
      </c>
      <c r="D141" s="34" t="s">
        <v>891</v>
      </c>
      <c r="E141" s="34"/>
      <c r="F141" s="34" t="s">
        <v>651</v>
      </c>
      <c r="G141" s="34" t="s">
        <v>660</v>
      </c>
      <c r="H141" s="34" t="s">
        <v>661</v>
      </c>
      <c r="I141" s="34"/>
      <c r="J141" s="34"/>
      <c r="K141" s="34"/>
      <c r="L141" s="34"/>
      <c r="M141" s="34" t="s">
        <v>58</v>
      </c>
      <c r="N141" s="34"/>
      <c r="O141" s="34" t="s">
        <v>11</v>
      </c>
      <c r="P141" s="35"/>
      <c r="Q141" s="35">
        <v>9622956.25</v>
      </c>
      <c r="R141" s="35"/>
      <c r="S141" s="35">
        <v>3849182.5</v>
      </c>
      <c r="T141" s="35"/>
      <c r="U141" s="35">
        <f>Q141-S141</f>
        <v>5773773.75</v>
      </c>
      <c r="V141" s="36"/>
      <c r="W141" s="37"/>
      <c r="X141" s="35" t="e">
        <f>VLOOKUP(C141,Banorte!F:K,6,FALSE)</f>
        <v>#N/A</v>
      </c>
      <c r="Y141" s="35"/>
      <c r="Z141" s="35" t="e">
        <f>X141-Y141</f>
        <v>#N/A</v>
      </c>
      <c r="AA141" s="38"/>
      <c r="AB141" s="34"/>
      <c r="AC141" s="43"/>
      <c r="AD141" s="44"/>
      <c r="AE141" s="33"/>
      <c r="AF141" s="39"/>
      <c r="AG141" s="40"/>
      <c r="AH141" s="114"/>
      <c r="AI141" s="109">
        <v>46170</v>
      </c>
      <c r="AJ141" s="116"/>
      <c r="AK141" s="41"/>
      <c r="AL141" s="33"/>
      <c r="AM141" s="33"/>
      <c r="AN141" s="42"/>
      <c r="AO141" s="108">
        <v>912</v>
      </c>
      <c r="AP141" s="113">
        <v>46129</v>
      </c>
      <c r="AQ141" s="109">
        <v>46170</v>
      </c>
      <c r="AR141" s="110" t="s">
        <v>58</v>
      </c>
      <c r="AS141" s="110"/>
    </row>
    <row r="142" spans="1:45" x14ac:dyDescent="0.2">
      <c r="A142" s="60"/>
      <c r="B142" s="33">
        <v>101</v>
      </c>
      <c r="C142" s="33">
        <v>913</v>
      </c>
      <c r="D142" s="33" t="s">
        <v>890</v>
      </c>
      <c r="E142" s="34"/>
      <c r="F142" s="34" t="s">
        <v>414</v>
      </c>
      <c r="G142" s="34" t="s">
        <v>293</v>
      </c>
      <c r="H142" s="34"/>
      <c r="I142" s="34"/>
      <c r="J142" s="34"/>
      <c r="K142" s="34"/>
      <c r="L142" s="34"/>
      <c r="M142" s="34" t="s">
        <v>445</v>
      </c>
      <c r="N142" s="34"/>
      <c r="O142" s="34" t="s">
        <v>11</v>
      </c>
      <c r="P142" s="35">
        <v>384500</v>
      </c>
      <c r="Q142" s="35">
        <f>P142*$U$3</f>
        <v>7113250</v>
      </c>
      <c r="R142" s="35">
        <v>153145</v>
      </c>
      <c r="S142" s="35"/>
      <c r="T142" s="35">
        <f>P142-R142</f>
        <v>231355</v>
      </c>
      <c r="U142" s="35">
        <f>T142*U$3</f>
        <v>4280067.5</v>
      </c>
      <c r="V142" s="36"/>
      <c r="W142" s="37" t="s">
        <v>55</v>
      </c>
      <c r="X142" s="35" t="e">
        <f>VLOOKUP(C142,Banorte!F:K,6,FALSE)</f>
        <v>#N/A</v>
      </c>
      <c r="Y142" s="35"/>
      <c r="Z142" s="35" t="e">
        <f>X142-Y142</f>
        <v>#N/A</v>
      </c>
      <c r="AA142" s="37"/>
      <c r="AB142" s="34"/>
      <c r="AC142" s="43"/>
      <c r="AD142" s="44"/>
      <c r="AE142" s="34"/>
      <c r="AF142" s="39"/>
      <c r="AG142" s="40"/>
      <c r="AH142" s="114"/>
      <c r="AI142" s="109">
        <v>46170</v>
      </c>
      <c r="AJ142" s="116"/>
      <c r="AK142" s="41"/>
      <c r="AL142" s="33"/>
      <c r="AM142" s="33"/>
      <c r="AN142" s="42"/>
      <c r="AO142" s="108">
        <v>913</v>
      </c>
      <c r="AP142" s="113">
        <v>46129</v>
      </c>
      <c r="AQ142" s="109">
        <v>46170</v>
      </c>
      <c r="AR142" s="110" t="s">
        <v>445</v>
      </c>
      <c r="AS142" s="110"/>
    </row>
    <row r="143" spans="1:45" x14ac:dyDescent="0.2">
      <c r="A143" s="60"/>
      <c r="B143" s="33">
        <v>102</v>
      </c>
      <c r="C143" s="33">
        <v>914</v>
      </c>
      <c r="D143" s="33" t="s">
        <v>890</v>
      </c>
      <c r="E143" s="34"/>
      <c r="F143" s="34" t="s">
        <v>415</v>
      </c>
      <c r="G143" s="34" t="s">
        <v>416</v>
      </c>
      <c r="H143" s="34"/>
      <c r="I143" s="34"/>
      <c r="J143" s="34"/>
      <c r="K143" s="34"/>
      <c r="L143" s="34"/>
      <c r="M143" s="34" t="s">
        <v>445</v>
      </c>
      <c r="N143" s="34"/>
      <c r="O143" s="34" t="s">
        <v>11</v>
      </c>
      <c r="P143" s="35">
        <v>384500</v>
      </c>
      <c r="Q143" s="35">
        <f>P143*$U$3</f>
        <v>7113250</v>
      </c>
      <c r="R143" s="35">
        <v>129680</v>
      </c>
      <c r="S143" s="35"/>
      <c r="T143" s="35">
        <f>P143-R143</f>
        <v>254820</v>
      </c>
      <c r="U143" s="35">
        <f>T143*U$3</f>
        <v>4714170</v>
      </c>
      <c r="V143" s="36"/>
      <c r="W143" s="37" t="s">
        <v>55</v>
      </c>
      <c r="X143" s="35" t="e">
        <f>VLOOKUP(C143,Banorte!F:K,6,FALSE)</f>
        <v>#N/A</v>
      </c>
      <c r="Y143" s="35"/>
      <c r="Z143" s="35" t="e">
        <f>X143-Y143</f>
        <v>#N/A</v>
      </c>
      <c r="AA143" s="37"/>
      <c r="AB143" s="34"/>
      <c r="AC143" s="43"/>
      <c r="AD143" s="44"/>
      <c r="AE143" s="34"/>
      <c r="AF143" s="39"/>
      <c r="AG143" s="40"/>
      <c r="AH143" s="114"/>
      <c r="AI143" s="109">
        <v>46170</v>
      </c>
      <c r="AJ143" s="116"/>
      <c r="AK143" s="41"/>
      <c r="AL143" s="33"/>
      <c r="AM143" s="33"/>
      <c r="AN143" s="42"/>
      <c r="AO143" s="108">
        <v>914</v>
      </c>
      <c r="AP143" s="113">
        <v>46129</v>
      </c>
      <c r="AQ143" s="109">
        <v>46170</v>
      </c>
      <c r="AR143" s="110" t="s">
        <v>445</v>
      </c>
      <c r="AS143" s="110"/>
    </row>
    <row r="144" spans="1:45" x14ac:dyDescent="0.2">
      <c r="A144" s="60"/>
      <c r="B144" s="33">
        <v>189</v>
      </c>
      <c r="C144" s="34">
        <v>915</v>
      </c>
      <c r="D144" s="34" t="s">
        <v>891</v>
      </c>
      <c r="E144" s="34"/>
      <c r="F144" s="34" t="s">
        <v>652</v>
      </c>
      <c r="G144" s="34" t="s">
        <v>653</v>
      </c>
      <c r="H144" s="34" t="s">
        <v>654</v>
      </c>
      <c r="I144" s="34"/>
      <c r="J144" s="34"/>
      <c r="K144" s="34"/>
      <c r="L144" s="34"/>
      <c r="M144" s="34" t="s">
        <v>58</v>
      </c>
      <c r="N144" s="34"/>
      <c r="O144" s="34" t="s">
        <v>11</v>
      </c>
      <c r="P144" s="35"/>
      <c r="Q144" s="35">
        <v>7616307.1900000004</v>
      </c>
      <c r="R144" s="35"/>
      <c r="S144" s="35">
        <v>2284892.1600000001</v>
      </c>
      <c r="T144" s="35"/>
      <c r="U144" s="35">
        <f>Q144-S144</f>
        <v>5331415.03</v>
      </c>
      <c r="V144" s="36"/>
      <c r="W144" s="37"/>
      <c r="X144" s="35" t="e">
        <f>VLOOKUP(C144,Banorte!F:K,6,FALSE)</f>
        <v>#N/A</v>
      </c>
      <c r="Y144" s="35"/>
      <c r="Z144" s="35" t="e">
        <f>X144-Y144</f>
        <v>#N/A</v>
      </c>
      <c r="AA144" s="37"/>
      <c r="AB144" s="34"/>
      <c r="AC144" s="43"/>
      <c r="AD144" s="44"/>
      <c r="AE144" s="34"/>
      <c r="AF144" s="39"/>
      <c r="AG144" s="40"/>
      <c r="AH144" s="114"/>
      <c r="AI144" s="109">
        <v>46170</v>
      </c>
      <c r="AJ144" s="116"/>
      <c r="AK144" s="41"/>
      <c r="AL144" s="33"/>
      <c r="AM144" s="33"/>
      <c r="AN144" s="42"/>
      <c r="AO144" s="108">
        <v>915</v>
      </c>
      <c r="AP144" s="113">
        <v>46129</v>
      </c>
      <c r="AQ144" s="109">
        <v>46170</v>
      </c>
      <c r="AR144" s="110" t="s">
        <v>58</v>
      </c>
      <c r="AS144" s="110"/>
    </row>
    <row r="145" spans="1:45" x14ac:dyDescent="0.2">
      <c r="A145" s="60"/>
      <c r="B145" s="33">
        <v>190</v>
      </c>
      <c r="C145" s="34">
        <v>916</v>
      </c>
      <c r="D145" s="34" t="s">
        <v>891</v>
      </c>
      <c r="E145" s="34"/>
      <c r="F145" s="34" t="s">
        <v>655</v>
      </c>
      <c r="G145" s="34" t="s">
        <v>659</v>
      </c>
      <c r="H145" s="34" t="s">
        <v>656</v>
      </c>
      <c r="I145" s="34"/>
      <c r="J145" s="34"/>
      <c r="K145" s="34"/>
      <c r="L145" s="34"/>
      <c r="M145" s="34" t="s">
        <v>58</v>
      </c>
      <c r="N145" s="34"/>
      <c r="O145" s="34" t="s">
        <v>11</v>
      </c>
      <c r="P145" s="35"/>
      <c r="Q145" s="35">
        <v>7616307.1900000004</v>
      </c>
      <c r="R145" s="35"/>
      <c r="S145" s="35">
        <v>2284892.1600000001</v>
      </c>
      <c r="T145" s="35"/>
      <c r="U145" s="35">
        <f>Q145-S145</f>
        <v>5331415.03</v>
      </c>
      <c r="V145" s="36"/>
      <c r="W145" s="37"/>
      <c r="X145" s="35" t="e">
        <f>VLOOKUP(C145,Banorte!F:K,6,FALSE)</f>
        <v>#N/A</v>
      </c>
      <c r="Y145" s="35"/>
      <c r="Z145" s="35" t="e">
        <f>X145-Y145</f>
        <v>#N/A</v>
      </c>
      <c r="AA145" s="37"/>
      <c r="AB145" s="34"/>
      <c r="AC145" s="43"/>
      <c r="AD145" s="44"/>
      <c r="AE145" s="34"/>
      <c r="AF145" s="39"/>
      <c r="AG145" s="40"/>
      <c r="AH145" s="114"/>
      <c r="AI145" s="109">
        <v>46170</v>
      </c>
      <c r="AJ145" s="116"/>
      <c r="AK145" s="41"/>
      <c r="AL145" s="33"/>
      <c r="AM145" s="33"/>
      <c r="AN145" s="42"/>
      <c r="AO145" s="108">
        <v>916</v>
      </c>
      <c r="AP145" s="113">
        <v>46129</v>
      </c>
      <c r="AQ145" s="109">
        <v>46170</v>
      </c>
      <c r="AR145" s="110" t="s">
        <v>58</v>
      </c>
      <c r="AS145" s="110"/>
    </row>
    <row r="146" spans="1:45" x14ac:dyDescent="0.2">
      <c r="A146" s="60"/>
      <c r="B146" s="33">
        <v>191</v>
      </c>
      <c r="C146" s="34">
        <v>917</v>
      </c>
      <c r="D146" s="34" t="s">
        <v>891</v>
      </c>
      <c r="E146" s="34"/>
      <c r="F146" s="34" t="s">
        <v>657</v>
      </c>
      <c r="G146" s="34" t="s">
        <v>658</v>
      </c>
      <c r="H146" s="34"/>
      <c r="I146" s="34"/>
      <c r="J146" s="34"/>
      <c r="K146" s="34"/>
      <c r="L146" s="34"/>
      <c r="M146" s="34" t="s">
        <v>58</v>
      </c>
      <c r="N146" s="34"/>
      <c r="O146" s="34" t="s">
        <v>11</v>
      </c>
      <c r="P146" s="35"/>
      <c r="Q146" s="35">
        <v>6970000</v>
      </c>
      <c r="R146" s="35"/>
      <c r="S146" s="35">
        <v>2191000</v>
      </c>
      <c r="T146" s="35"/>
      <c r="U146" s="35">
        <f>Q146-S146</f>
        <v>4779000</v>
      </c>
      <c r="V146" s="36"/>
      <c r="W146" s="37"/>
      <c r="X146" s="35" t="e">
        <f>VLOOKUP(C146,Banorte!F:K,6,FALSE)</f>
        <v>#N/A</v>
      </c>
      <c r="Y146" s="35"/>
      <c r="Z146" s="35" t="e">
        <f>X146-Y146</f>
        <v>#N/A</v>
      </c>
      <c r="AA146" s="38"/>
      <c r="AB146" s="34"/>
      <c r="AC146" s="43"/>
      <c r="AD146" s="44"/>
      <c r="AE146" s="33"/>
      <c r="AF146" s="39"/>
      <c r="AG146" s="40"/>
      <c r="AH146" s="114"/>
      <c r="AI146" s="109">
        <v>46170</v>
      </c>
      <c r="AJ146" s="116"/>
      <c r="AK146" s="41"/>
      <c r="AL146" s="33"/>
      <c r="AM146" s="33"/>
      <c r="AN146" s="42"/>
      <c r="AO146" s="108">
        <v>917</v>
      </c>
      <c r="AP146" s="113">
        <v>46129</v>
      </c>
      <c r="AQ146" s="109">
        <v>46170</v>
      </c>
      <c r="AR146" s="110" t="s">
        <v>58</v>
      </c>
      <c r="AS146" s="110"/>
    </row>
    <row r="147" spans="1:45" x14ac:dyDescent="0.2">
      <c r="A147" s="60"/>
      <c r="B147" s="33">
        <v>127</v>
      </c>
      <c r="C147" s="34">
        <v>1001</v>
      </c>
      <c r="D147" s="34" t="s">
        <v>891</v>
      </c>
      <c r="E147" s="34"/>
      <c r="F147" s="34" t="s">
        <v>521</v>
      </c>
      <c r="G147" s="34" t="s">
        <v>69</v>
      </c>
      <c r="H147" s="34" t="s">
        <v>522</v>
      </c>
      <c r="I147" s="34"/>
      <c r="J147" s="34"/>
      <c r="K147" s="34"/>
      <c r="L147" s="34"/>
      <c r="M147" s="34" t="s">
        <v>58</v>
      </c>
      <c r="N147" s="34"/>
      <c r="O147" s="34" t="s">
        <v>11</v>
      </c>
      <c r="P147" s="35"/>
      <c r="Q147" s="35">
        <v>7040000</v>
      </c>
      <c r="R147" s="35"/>
      <c r="S147" s="35">
        <v>2112000</v>
      </c>
      <c r="T147" s="35"/>
      <c r="U147" s="35">
        <f>Q147-S147</f>
        <v>4928000</v>
      </c>
      <c r="V147" s="36"/>
      <c r="W147" s="37"/>
      <c r="X147" s="35" t="e">
        <f>VLOOKUP(C147,Banorte!F:K,6,FALSE)</f>
        <v>#N/A</v>
      </c>
      <c r="Y147" s="35"/>
      <c r="Z147" s="35" t="e">
        <f>X147-Y147</f>
        <v>#N/A</v>
      </c>
      <c r="AA147" s="37"/>
      <c r="AB147" s="34"/>
      <c r="AC147" s="43"/>
      <c r="AD147" s="44"/>
      <c r="AE147" s="34"/>
      <c r="AF147" s="39"/>
      <c r="AG147" s="40"/>
      <c r="AH147" s="114"/>
      <c r="AI147" s="109">
        <v>46211</v>
      </c>
      <c r="AJ147" s="116"/>
      <c r="AK147" s="41"/>
      <c r="AL147" s="33"/>
      <c r="AM147" s="33"/>
      <c r="AN147" s="42"/>
      <c r="AO147" s="108">
        <v>1001</v>
      </c>
      <c r="AP147" s="113">
        <v>46183</v>
      </c>
      <c r="AQ147" s="109">
        <v>46211</v>
      </c>
      <c r="AR147" s="110" t="s">
        <v>58</v>
      </c>
      <c r="AS147" s="110"/>
    </row>
    <row r="148" spans="1:45" x14ac:dyDescent="0.2">
      <c r="A148" s="60"/>
      <c r="B148" s="33">
        <v>128</v>
      </c>
      <c r="C148" s="34">
        <v>1002</v>
      </c>
      <c r="D148" s="34" t="s">
        <v>891</v>
      </c>
      <c r="E148" s="34"/>
      <c r="F148" s="34" t="s">
        <v>523</v>
      </c>
      <c r="G148" s="34" t="s">
        <v>524</v>
      </c>
      <c r="H148" s="34"/>
      <c r="I148" s="34"/>
      <c r="J148" s="34"/>
      <c r="K148" s="34"/>
      <c r="L148" s="34"/>
      <c r="M148" s="34" t="s">
        <v>58</v>
      </c>
      <c r="N148" s="34"/>
      <c r="O148" s="34" t="s">
        <v>11</v>
      </c>
      <c r="P148" s="35"/>
      <c r="Q148" s="35">
        <v>7468736</v>
      </c>
      <c r="R148" s="35"/>
      <c r="S148" s="35">
        <v>2327735.61</v>
      </c>
      <c r="T148" s="35"/>
      <c r="U148" s="35">
        <f>Q148-S148</f>
        <v>5141000.3900000006</v>
      </c>
      <c r="V148" s="36"/>
      <c r="W148" s="37"/>
      <c r="X148" s="35" t="e">
        <f>VLOOKUP(C148,Banorte!F:K,6,FALSE)</f>
        <v>#N/A</v>
      </c>
      <c r="Y148" s="35"/>
      <c r="Z148" s="35" t="e">
        <f>X148-Y148</f>
        <v>#N/A</v>
      </c>
      <c r="AA148" s="38"/>
      <c r="AB148" s="34"/>
      <c r="AC148" s="43"/>
      <c r="AD148" s="44"/>
      <c r="AE148" s="33"/>
      <c r="AF148" s="39"/>
      <c r="AG148" s="40"/>
      <c r="AH148" s="114"/>
      <c r="AI148" s="109">
        <v>46211</v>
      </c>
      <c r="AJ148" s="116"/>
      <c r="AK148" s="41"/>
      <c r="AL148" s="33"/>
      <c r="AM148" s="33"/>
      <c r="AN148" s="42"/>
      <c r="AO148" s="108">
        <v>1002</v>
      </c>
      <c r="AP148" s="113">
        <v>46183</v>
      </c>
      <c r="AQ148" s="109">
        <v>46211</v>
      </c>
      <c r="AR148" s="110" t="s">
        <v>58</v>
      </c>
      <c r="AS148" s="110"/>
    </row>
    <row r="149" spans="1:45" x14ac:dyDescent="0.2">
      <c r="A149" s="60"/>
      <c r="B149" s="33">
        <v>103</v>
      </c>
      <c r="C149" s="33">
        <v>1003</v>
      </c>
      <c r="D149" s="33" t="s">
        <v>890</v>
      </c>
      <c r="E149" s="34"/>
      <c r="F149" s="34" t="s">
        <v>417</v>
      </c>
      <c r="G149" s="34" t="s">
        <v>418</v>
      </c>
      <c r="H149" s="34"/>
      <c r="I149" s="34"/>
      <c r="J149" s="34"/>
      <c r="K149" s="34"/>
      <c r="L149" s="34"/>
      <c r="M149" s="34" t="s">
        <v>445</v>
      </c>
      <c r="N149" s="34"/>
      <c r="O149" s="34" t="s">
        <v>11</v>
      </c>
      <c r="P149" s="35">
        <v>325600</v>
      </c>
      <c r="Q149" s="35">
        <f>P149*$U$3</f>
        <v>6023600</v>
      </c>
      <c r="R149" s="35">
        <v>162800</v>
      </c>
      <c r="S149" s="35"/>
      <c r="T149" s="35">
        <f>P149-R149</f>
        <v>162800</v>
      </c>
      <c r="U149" s="35">
        <f>T149*U$3</f>
        <v>3011800</v>
      </c>
      <c r="V149" s="36"/>
      <c r="W149" s="37" t="s">
        <v>55</v>
      </c>
      <c r="X149" s="35" t="e">
        <f>VLOOKUP(C149,Banorte!F:K,6,FALSE)</f>
        <v>#N/A</v>
      </c>
      <c r="Y149" s="35"/>
      <c r="Z149" s="35" t="e">
        <f>X149-Y149</f>
        <v>#N/A</v>
      </c>
      <c r="AA149" s="38"/>
      <c r="AB149" s="34"/>
      <c r="AC149" s="43"/>
      <c r="AD149" s="44"/>
      <c r="AE149" s="33"/>
      <c r="AF149" s="39"/>
      <c r="AG149" s="40"/>
      <c r="AH149" s="114"/>
      <c r="AI149" s="109">
        <v>46211</v>
      </c>
      <c r="AJ149" s="116"/>
      <c r="AK149" s="41"/>
      <c r="AL149" s="33"/>
      <c r="AM149" s="33"/>
      <c r="AN149" s="42"/>
      <c r="AO149" s="108">
        <v>1003</v>
      </c>
      <c r="AP149" s="113">
        <v>46183</v>
      </c>
      <c r="AQ149" s="109">
        <v>46211</v>
      </c>
      <c r="AR149" s="110" t="s">
        <v>445</v>
      </c>
      <c r="AS149" s="110"/>
    </row>
    <row r="150" spans="1:45" x14ac:dyDescent="0.2">
      <c r="A150" s="60"/>
      <c r="B150" s="33">
        <v>104</v>
      </c>
      <c r="C150" s="33">
        <v>1004</v>
      </c>
      <c r="D150" s="33" t="s">
        <v>890</v>
      </c>
      <c r="E150" s="34"/>
      <c r="F150" s="34" t="s">
        <v>419</v>
      </c>
      <c r="G150" s="34" t="s">
        <v>76</v>
      </c>
      <c r="H150" s="34"/>
      <c r="I150" s="34"/>
      <c r="J150" s="34"/>
      <c r="K150" s="34"/>
      <c r="L150" s="34"/>
      <c r="M150" s="34" t="s">
        <v>445</v>
      </c>
      <c r="N150" s="34"/>
      <c r="O150" s="34" t="s">
        <v>11</v>
      </c>
      <c r="P150" s="35">
        <v>388000</v>
      </c>
      <c r="Q150" s="35">
        <f>P150*$U$3</f>
        <v>7178000</v>
      </c>
      <c r="R150" s="35">
        <v>135820</v>
      </c>
      <c r="S150" s="35"/>
      <c r="T150" s="35">
        <f>P150-R150</f>
        <v>252180</v>
      </c>
      <c r="U150" s="35">
        <f>T150*U$3</f>
        <v>4665330</v>
      </c>
      <c r="V150" s="36"/>
      <c r="W150" s="37" t="s">
        <v>55</v>
      </c>
      <c r="X150" s="35" t="e">
        <f>VLOOKUP(C150,Banorte!F:K,6,FALSE)</f>
        <v>#N/A</v>
      </c>
      <c r="Y150" s="35"/>
      <c r="Z150" s="35" t="e">
        <f>X150-Y150</f>
        <v>#N/A</v>
      </c>
      <c r="AA150" s="37"/>
      <c r="AB150" s="34"/>
      <c r="AC150" s="43"/>
      <c r="AD150" s="44"/>
      <c r="AE150" s="34"/>
      <c r="AF150" s="39"/>
      <c r="AG150" s="40"/>
      <c r="AH150" s="114"/>
      <c r="AI150" s="109">
        <v>46211</v>
      </c>
      <c r="AJ150" s="116"/>
      <c r="AK150" s="41"/>
      <c r="AL150" s="33"/>
      <c r="AM150" s="33"/>
      <c r="AN150" s="42"/>
      <c r="AO150" s="108">
        <v>1004</v>
      </c>
      <c r="AP150" s="113">
        <v>46183</v>
      </c>
      <c r="AQ150" s="109">
        <v>46211</v>
      </c>
      <c r="AR150" s="110" t="s">
        <v>445</v>
      </c>
      <c r="AS150" s="110"/>
    </row>
    <row r="151" spans="1:45" x14ac:dyDescent="0.2">
      <c r="A151" s="60"/>
      <c r="B151" s="33">
        <v>105</v>
      </c>
      <c r="C151" s="33">
        <v>1005</v>
      </c>
      <c r="D151" s="33" t="s">
        <v>890</v>
      </c>
      <c r="E151" s="34"/>
      <c r="F151" s="34" t="s">
        <v>420</v>
      </c>
      <c r="G151" s="34" t="s">
        <v>421</v>
      </c>
      <c r="H151" s="34"/>
      <c r="I151" s="34"/>
      <c r="J151" s="34"/>
      <c r="K151" s="34"/>
      <c r="L151" s="34"/>
      <c r="M151" s="34" t="s">
        <v>53</v>
      </c>
      <c r="N151" s="34"/>
      <c r="O151" s="34" t="s">
        <v>11</v>
      </c>
      <c r="P151" s="35">
        <v>388000</v>
      </c>
      <c r="Q151" s="35">
        <f>P151*$U$3</f>
        <v>7178000</v>
      </c>
      <c r="R151" s="35">
        <v>194640</v>
      </c>
      <c r="S151" s="35"/>
      <c r="T151" s="35">
        <f>P151-R151</f>
        <v>193360</v>
      </c>
      <c r="U151" s="35">
        <f>T151*U$3</f>
        <v>3577160</v>
      </c>
      <c r="V151" s="36"/>
      <c r="W151" s="37"/>
      <c r="X151" s="35" t="e">
        <f>VLOOKUP(C151,Banorte!F:K,6,FALSE)</f>
        <v>#N/A</v>
      </c>
      <c r="Y151" s="35"/>
      <c r="Z151" s="35" t="e">
        <f>X151-Y151</f>
        <v>#N/A</v>
      </c>
      <c r="AA151" s="37"/>
      <c r="AB151" s="34"/>
      <c r="AC151" s="43"/>
      <c r="AD151" s="44"/>
      <c r="AE151" s="34"/>
      <c r="AF151" s="39"/>
      <c r="AG151" s="40"/>
      <c r="AH151" s="114"/>
      <c r="AI151" s="109">
        <v>46211</v>
      </c>
      <c r="AJ151" s="116"/>
      <c r="AK151" s="41"/>
      <c r="AL151" s="33"/>
      <c r="AM151" s="33"/>
      <c r="AN151" s="42"/>
      <c r="AO151" s="108">
        <v>1005</v>
      </c>
      <c r="AP151" s="113">
        <v>46183</v>
      </c>
      <c r="AQ151" s="109">
        <v>46211</v>
      </c>
      <c r="AR151" s="110" t="s">
        <v>53</v>
      </c>
      <c r="AS151" s="110"/>
    </row>
    <row r="152" spans="1:45" x14ac:dyDescent="0.2">
      <c r="A152" s="60"/>
      <c r="B152" s="33">
        <v>129</v>
      </c>
      <c r="C152" s="34">
        <v>1006</v>
      </c>
      <c r="D152" s="34" t="s">
        <v>891</v>
      </c>
      <c r="E152" s="34"/>
      <c r="F152" s="34" t="s">
        <v>96</v>
      </c>
      <c r="G152" s="34" t="s">
        <v>517</v>
      </c>
      <c r="H152" s="34" t="s">
        <v>516</v>
      </c>
      <c r="I152" s="34"/>
      <c r="J152" s="34"/>
      <c r="K152" s="34"/>
      <c r="L152" s="34"/>
      <c r="M152" s="34" t="s">
        <v>58</v>
      </c>
      <c r="N152" s="34"/>
      <c r="O152" s="34" t="s">
        <v>11</v>
      </c>
      <c r="P152" s="35"/>
      <c r="Q152" s="35">
        <v>9950000</v>
      </c>
      <c r="R152" s="35"/>
      <c r="S152" s="35">
        <v>9950000</v>
      </c>
      <c r="T152" s="35"/>
      <c r="U152" s="35">
        <f>Q152-S152</f>
        <v>0</v>
      </c>
      <c r="V152" s="36"/>
      <c r="W152" s="37"/>
      <c r="X152" s="35" t="e">
        <f>VLOOKUP(C152,Banorte!F:K,6,FALSE)</f>
        <v>#N/A</v>
      </c>
      <c r="Y152" s="35"/>
      <c r="Z152" s="35" t="e">
        <f>X152-Y152</f>
        <v>#N/A</v>
      </c>
      <c r="AA152" s="37"/>
      <c r="AB152" s="34"/>
      <c r="AC152" s="43"/>
      <c r="AD152" s="44"/>
      <c r="AE152" s="34"/>
      <c r="AF152" s="39"/>
      <c r="AG152" s="40"/>
      <c r="AH152" s="114"/>
      <c r="AI152" s="109">
        <v>46211</v>
      </c>
      <c r="AJ152" s="116"/>
      <c r="AK152" s="41"/>
      <c r="AL152" s="33"/>
      <c r="AM152" s="33"/>
      <c r="AN152" s="42"/>
      <c r="AO152" s="112">
        <v>1006</v>
      </c>
      <c r="AP152" s="113">
        <v>46183</v>
      </c>
      <c r="AQ152" s="109">
        <v>46211</v>
      </c>
      <c r="AR152" s="110" t="s">
        <v>58</v>
      </c>
      <c r="AS152" s="110" t="s">
        <v>34</v>
      </c>
    </row>
    <row r="153" spans="1:45" x14ac:dyDescent="0.2">
      <c r="A153" s="60"/>
      <c r="B153" s="33">
        <v>106</v>
      </c>
      <c r="C153" s="33">
        <v>1007</v>
      </c>
      <c r="D153" s="33" t="s">
        <v>890</v>
      </c>
      <c r="E153" s="34"/>
      <c r="F153" s="34" t="s">
        <v>422</v>
      </c>
      <c r="G153" s="34" t="s">
        <v>423</v>
      </c>
      <c r="H153" s="34"/>
      <c r="I153" s="34"/>
      <c r="J153" s="34"/>
      <c r="K153" s="34"/>
      <c r="L153" s="34"/>
      <c r="M153" s="34" t="s">
        <v>445</v>
      </c>
      <c r="N153" s="34"/>
      <c r="O153" s="34" t="s">
        <v>11</v>
      </c>
      <c r="P153" s="35">
        <v>325600</v>
      </c>
      <c r="Q153" s="35">
        <f>P153*$U$3</f>
        <v>6023600</v>
      </c>
      <c r="R153" s="35">
        <v>325100</v>
      </c>
      <c r="S153" s="35"/>
      <c r="T153" s="35">
        <f>P153-R153</f>
        <v>500</v>
      </c>
      <c r="U153" s="35">
        <f>T153*U$3</f>
        <v>9250</v>
      </c>
      <c r="V153" s="36"/>
      <c r="W153" s="37" t="s">
        <v>55</v>
      </c>
      <c r="X153" s="35" t="e">
        <f>VLOOKUP(C153,Banorte!F:K,6,FALSE)</f>
        <v>#N/A</v>
      </c>
      <c r="Y153" s="35"/>
      <c r="Z153" s="35" t="e">
        <f>X153-Y153</f>
        <v>#N/A</v>
      </c>
      <c r="AA153" s="38"/>
      <c r="AB153" s="34"/>
      <c r="AC153" s="43"/>
      <c r="AD153" s="44"/>
      <c r="AE153" s="33"/>
      <c r="AF153" s="39"/>
      <c r="AG153" s="40"/>
      <c r="AH153" s="114"/>
      <c r="AI153" s="109">
        <v>46211</v>
      </c>
      <c r="AJ153" s="116"/>
      <c r="AK153" s="41"/>
      <c r="AL153" s="33"/>
      <c r="AM153" s="33"/>
      <c r="AN153" s="42"/>
      <c r="AO153" s="112">
        <v>1007</v>
      </c>
      <c r="AP153" s="113">
        <v>46183</v>
      </c>
      <c r="AQ153" s="109">
        <v>46211</v>
      </c>
      <c r="AR153" s="110" t="s">
        <v>445</v>
      </c>
      <c r="AS153" s="110" t="s">
        <v>34</v>
      </c>
    </row>
    <row r="154" spans="1:45" x14ac:dyDescent="0.2">
      <c r="A154" s="60"/>
      <c r="B154" s="33">
        <v>107</v>
      </c>
      <c r="C154" s="33">
        <v>1008</v>
      </c>
      <c r="D154" s="33" t="s">
        <v>890</v>
      </c>
      <c r="E154" s="34"/>
      <c r="F154" s="34" t="s">
        <v>424</v>
      </c>
      <c r="G154" s="34" t="s">
        <v>425</v>
      </c>
      <c r="H154" s="34"/>
      <c r="I154" s="34"/>
      <c r="J154" s="34"/>
      <c r="K154" s="34"/>
      <c r="L154" s="34"/>
      <c r="M154" s="34" t="s">
        <v>53</v>
      </c>
      <c r="N154" s="34"/>
      <c r="O154" s="34" t="s">
        <v>11</v>
      </c>
      <c r="P154" s="35">
        <v>325600</v>
      </c>
      <c r="Q154" s="35">
        <f>P154*$U$3</f>
        <v>6023600</v>
      </c>
      <c r="R154" s="35">
        <v>162800</v>
      </c>
      <c r="S154" s="35"/>
      <c r="T154" s="35">
        <f>P154-R154</f>
        <v>162800</v>
      </c>
      <c r="U154" s="35">
        <f>T154*U$3</f>
        <v>3011800</v>
      </c>
      <c r="V154" s="36"/>
      <c r="W154" s="37"/>
      <c r="X154" s="35" t="e">
        <f>VLOOKUP(C154,Banorte!F:K,6,FALSE)</f>
        <v>#N/A</v>
      </c>
      <c r="Y154" s="35"/>
      <c r="Z154" s="35" t="e">
        <f>X154-Y154</f>
        <v>#N/A</v>
      </c>
      <c r="AA154" s="37"/>
      <c r="AB154" s="34"/>
      <c r="AC154" s="43"/>
      <c r="AD154" s="44"/>
      <c r="AE154" s="34"/>
      <c r="AF154" s="39"/>
      <c r="AG154" s="40"/>
      <c r="AH154" s="114"/>
      <c r="AI154" s="109">
        <v>46211</v>
      </c>
      <c r="AJ154" s="116"/>
      <c r="AK154" s="41"/>
      <c r="AL154" s="33"/>
      <c r="AM154" s="33"/>
      <c r="AN154" s="42"/>
      <c r="AO154" s="108">
        <v>1008</v>
      </c>
      <c r="AP154" s="113">
        <v>46183</v>
      </c>
      <c r="AQ154" s="109">
        <v>46211</v>
      </c>
      <c r="AR154" s="110" t="s">
        <v>53</v>
      </c>
      <c r="AS154" s="110"/>
    </row>
    <row r="155" spans="1:45" x14ac:dyDescent="0.2">
      <c r="A155" s="60"/>
      <c r="B155" s="33">
        <v>130</v>
      </c>
      <c r="C155" s="34">
        <v>1009</v>
      </c>
      <c r="D155" s="34" t="s">
        <v>891</v>
      </c>
      <c r="E155" s="34"/>
      <c r="F155" s="34" t="s">
        <v>525</v>
      </c>
      <c r="G155" s="34" t="s">
        <v>526</v>
      </c>
      <c r="H155" s="34" t="s">
        <v>527</v>
      </c>
      <c r="I155" s="34"/>
      <c r="J155" s="34"/>
      <c r="K155" s="34"/>
      <c r="L155" s="34"/>
      <c r="M155" s="34" t="s">
        <v>58</v>
      </c>
      <c r="N155" s="34"/>
      <c r="O155" s="34" t="s">
        <v>11</v>
      </c>
      <c r="P155" s="35"/>
      <c r="Q155" s="35">
        <v>9591500</v>
      </c>
      <c r="R155" s="35"/>
      <c r="S155" s="35">
        <v>2638098.1800000002</v>
      </c>
      <c r="T155" s="35"/>
      <c r="U155" s="35">
        <f>Q155-S155</f>
        <v>6953401.8200000003</v>
      </c>
      <c r="V155" s="36"/>
      <c r="W155" s="37"/>
      <c r="X155" s="35" t="e">
        <f>VLOOKUP(C155,Banorte!F:K,6,FALSE)</f>
        <v>#N/A</v>
      </c>
      <c r="Y155" s="35"/>
      <c r="Z155" s="35" t="e">
        <f>X155-Y155</f>
        <v>#N/A</v>
      </c>
      <c r="AA155" s="37"/>
      <c r="AB155" s="34"/>
      <c r="AC155" s="43"/>
      <c r="AD155" s="44"/>
      <c r="AE155" s="34"/>
      <c r="AF155" s="39"/>
      <c r="AG155" s="40"/>
      <c r="AH155" s="114"/>
      <c r="AI155" s="109">
        <v>46211</v>
      </c>
      <c r="AJ155" s="116"/>
      <c r="AK155" s="41"/>
      <c r="AL155" s="33"/>
      <c r="AM155" s="33"/>
      <c r="AN155" s="42"/>
      <c r="AO155" s="108">
        <v>1009</v>
      </c>
      <c r="AP155" s="113">
        <v>46183</v>
      </c>
      <c r="AQ155" s="109">
        <v>46211</v>
      </c>
      <c r="AR155" s="110" t="s">
        <v>58</v>
      </c>
      <c r="AS155" s="110"/>
    </row>
    <row r="156" spans="1:45" x14ac:dyDescent="0.2">
      <c r="A156" s="60"/>
      <c r="B156" s="33">
        <v>108</v>
      </c>
      <c r="C156" s="33">
        <v>1010</v>
      </c>
      <c r="D156" s="33" t="s">
        <v>890</v>
      </c>
      <c r="E156" s="34"/>
      <c r="F156" s="34" t="s">
        <v>426</v>
      </c>
      <c r="G156" s="34" t="s">
        <v>93</v>
      </c>
      <c r="H156" s="34"/>
      <c r="I156" s="34"/>
      <c r="J156" s="34"/>
      <c r="K156" s="34"/>
      <c r="L156" s="34"/>
      <c r="M156" s="34" t="s">
        <v>445</v>
      </c>
      <c r="N156" s="34"/>
      <c r="O156" s="34" t="s">
        <v>11</v>
      </c>
      <c r="P156" s="35">
        <v>325600</v>
      </c>
      <c r="Q156" s="35">
        <f>P156*$U$3</f>
        <v>6023600</v>
      </c>
      <c r="R156" s="35">
        <v>129940</v>
      </c>
      <c r="S156" s="35"/>
      <c r="T156" s="35">
        <f>P156-R156</f>
        <v>195660</v>
      </c>
      <c r="U156" s="35">
        <f>T156*U$3</f>
        <v>3619710</v>
      </c>
      <c r="V156" s="36"/>
      <c r="W156" s="37" t="s">
        <v>55</v>
      </c>
      <c r="X156" s="35" t="e">
        <f>VLOOKUP(C156,Banorte!F:K,6,FALSE)</f>
        <v>#N/A</v>
      </c>
      <c r="Y156" s="35"/>
      <c r="Z156" s="35" t="e">
        <f>X156-Y156</f>
        <v>#N/A</v>
      </c>
      <c r="AA156" s="37"/>
      <c r="AB156" s="34"/>
      <c r="AC156" s="43"/>
      <c r="AD156" s="44"/>
      <c r="AE156" s="34"/>
      <c r="AF156" s="39"/>
      <c r="AG156" s="40"/>
      <c r="AH156" s="114"/>
      <c r="AI156" s="109">
        <v>46211</v>
      </c>
      <c r="AJ156" s="116"/>
      <c r="AK156" s="41"/>
      <c r="AL156" s="33"/>
      <c r="AM156" s="33"/>
      <c r="AN156" s="42"/>
      <c r="AO156" s="108">
        <v>1010</v>
      </c>
      <c r="AP156" s="113">
        <v>46183</v>
      </c>
      <c r="AQ156" s="109">
        <v>46211</v>
      </c>
      <c r="AR156" s="110" t="s">
        <v>445</v>
      </c>
      <c r="AS156" s="110"/>
    </row>
    <row r="157" spans="1:45" x14ac:dyDescent="0.2">
      <c r="A157" s="60"/>
      <c r="B157" s="33">
        <v>109</v>
      </c>
      <c r="C157" s="33">
        <v>1011</v>
      </c>
      <c r="D157" s="33" t="s">
        <v>890</v>
      </c>
      <c r="E157" s="34"/>
      <c r="F157" s="34" t="s">
        <v>427</v>
      </c>
      <c r="G157" s="34" t="s">
        <v>59</v>
      </c>
      <c r="H157" s="34"/>
      <c r="I157" s="34"/>
      <c r="J157" s="34"/>
      <c r="K157" s="34"/>
      <c r="L157" s="34"/>
      <c r="M157" s="34" t="s">
        <v>445</v>
      </c>
      <c r="N157" s="34"/>
      <c r="O157" s="34" t="s">
        <v>11</v>
      </c>
      <c r="P157" s="35">
        <v>325600</v>
      </c>
      <c r="Q157" s="35">
        <f>P157*$U$3</f>
        <v>6023600</v>
      </c>
      <c r="R157" s="35">
        <v>325100</v>
      </c>
      <c r="S157" s="35"/>
      <c r="T157" s="35">
        <f>P157-R157</f>
        <v>500</v>
      </c>
      <c r="U157" s="35">
        <f>T157*U$3</f>
        <v>9250</v>
      </c>
      <c r="V157" s="36"/>
      <c r="W157" s="37" t="s">
        <v>55</v>
      </c>
      <c r="X157" s="35" t="e">
        <f>VLOOKUP(C157,Banorte!F:K,6,FALSE)</f>
        <v>#N/A</v>
      </c>
      <c r="Y157" s="35"/>
      <c r="Z157" s="35" t="e">
        <f>X157-Y157</f>
        <v>#N/A</v>
      </c>
      <c r="AA157" s="38"/>
      <c r="AB157" s="34"/>
      <c r="AC157" s="43"/>
      <c r="AD157" s="44"/>
      <c r="AE157" s="33"/>
      <c r="AF157" s="39"/>
      <c r="AG157" s="40"/>
      <c r="AH157" s="114"/>
      <c r="AI157" s="109">
        <v>46211</v>
      </c>
      <c r="AJ157" s="116"/>
      <c r="AK157" s="41"/>
      <c r="AL157" s="33"/>
      <c r="AM157" s="33"/>
      <c r="AN157" s="42"/>
      <c r="AO157" s="112">
        <v>1011</v>
      </c>
      <c r="AP157" s="113">
        <v>46183</v>
      </c>
      <c r="AQ157" s="109">
        <v>46211</v>
      </c>
      <c r="AR157" s="110" t="s">
        <v>445</v>
      </c>
      <c r="AS157" s="110" t="s">
        <v>34</v>
      </c>
    </row>
    <row r="158" spans="1:45" x14ac:dyDescent="0.2">
      <c r="A158" s="60"/>
      <c r="B158" s="33">
        <v>131</v>
      </c>
      <c r="C158" s="34">
        <v>1012</v>
      </c>
      <c r="D158" s="34" t="s">
        <v>891</v>
      </c>
      <c r="E158" s="34"/>
      <c r="F158" s="34" t="s">
        <v>528</v>
      </c>
      <c r="G158" s="34" t="s">
        <v>529</v>
      </c>
      <c r="H158" s="34" t="s">
        <v>530</v>
      </c>
      <c r="I158" s="34"/>
      <c r="J158" s="34"/>
      <c r="K158" s="34"/>
      <c r="L158" s="34"/>
      <c r="M158" s="34" t="s">
        <v>58</v>
      </c>
      <c r="N158" s="34"/>
      <c r="O158" s="34" t="s">
        <v>11</v>
      </c>
      <c r="P158" s="35"/>
      <c r="Q158" s="35">
        <v>7534450</v>
      </c>
      <c r="R158" s="35"/>
      <c r="S158" s="35">
        <v>6404282.5</v>
      </c>
      <c r="T158" s="35"/>
      <c r="U158" s="35">
        <f>Q158-S158</f>
        <v>1130167.5</v>
      </c>
      <c r="V158" s="36"/>
      <c r="W158" s="37"/>
      <c r="X158" s="35" t="e">
        <f>VLOOKUP(C158,Banorte!F:K,6,FALSE)</f>
        <v>#N/A</v>
      </c>
      <c r="Y158" s="35"/>
      <c r="Z158" s="35" t="e">
        <f>X158-Y158</f>
        <v>#N/A</v>
      </c>
      <c r="AA158" s="38"/>
      <c r="AB158" s="34"/>
      <c r="AC158" s="43"/>
      <c r="AD158" s="44"/>
      <c r="AE158" s="33"/>
      <c r="AF158" s="39"/>
      <c r="AG158" s="40"/>
      <c r="AH158" s="114"/>
      <c r="AI158" s="109">
        <v>46211</v>
      </c>
      <c r="AJ158" s="116"/>
      <c r="AK158" s="41"/>
      <c r="AL158" s="33"/>
      <c r="AM158" s="33"/>
      <c r="AN158" s="42"/>
      <c r="AO158" s="108">
        <v>1012</v>
      </c>
      <c r="AP158" s="113">
        <v>46183</v>
      </c>
      <c r="AQ158" s="109">
        <v>46211</v>
      </c>
      <c r="AR158" s="110" t="s">
        <v>58</v>
      </c>
      <c r="AS158" s="110"/>
    </row>
    <row r="159" spans="1:45" x14ac:dyDescent="0.2">
      <c r="A159" s="60"/>
      <c r="B159" s="33">
        <v>110</v>
      </c>
      <c r="C159" s="33">
        <v>1013</v>
      </c>
      <c r="D159" s="33" t="s">
        <v>890</v>
      </c>
      <c r="E159" s="34"/>
      <c r="F159" s="34" t="s">
        <v>428</v>
      </c>
      <c r="G159" s="34" t="s">
        <v>77</v>
      </c>
      <c r="H159" s="34"/>
      <c r="I159" s="34"/>
      <c r="J159" s="34"/>
      <c r="K159" s="34"/>
      <c r="L159" s="34"/>
      <c r="M159" s="34" t="s">
        <v>445</v>
      </c>
      <c r="N159" s="34"/>
      <c r="O159" s="34" t="s">
        <v>11</v>
      </c>
      <c r="P159" s="35">
        <v>388000</v>
      </c>
      <c r="Q159" s="35">
        <f>P159*$U$3</f>
        <v>7178000</v>
      </c>
      <c r="R159" s="35">
        <v>135820</v>
      </c>
      <c r="S159" s="35"/>
      <c r="T159" s="35">
        <f>P159-R159</f>
        <v>252180</v>
      </c>
      <c r="U159" s="35">
        <f>T159*U$3</f>
        <v>4665330</v>
      </c>
      <c r="V159" s="36"/>
      <c r="W159" s="37" t="s">
        <v>55</v>
      </c>
      <c r="X159" s="35" t="e">
        <f>VLOOKUP(C159,Banorte!F:K,6,FALSE)</f>
        <v>#N/A</v>
      </c>
      <c r="Y159" s="35"/>
      <c r="Z159" s="35" t="e">
        <f>X159-Y159</f>
        <v>#N/A</v>
      </c>
      <c r="AA159" s="37"/>
      <c r="AB159" s="34"/>
      <c r="AC159" s="43"/>
      <c r="AD159" s="44"/>
      <c r="AE159" s="34"/>
      <c r="AF159" s="39"/>
      <c r="AG159" s="40"/>
      <c r="AH159" s="114"/>
      <c r="AI159" s="109">
        <v>46211</v>
      </c>
      <c r="AJ159" s="116"/>
      <c r="AK159" s="41"/>
      <c r="AL159" s="33"/>
      <c r="AM159" s="33"/>
      <c r="AN159" s="42"/>
      <c r="AO159" s="108">
        <v>1013</v>
      </c>
      <c r="AP159" s="113">
        <v>46183</v>
      </c>
      <c r="AQ159" s="109">
        <v>46211</v>
      </c>
      <c r="AR159" s="110" t="s">
        <v>445</v>
      </c>
      <c r="AS159" s="110"/>
    </row>
    <row r="160" spans="1:45" x14ac:dyDescent="0.2">
      <c r="A160" s="60"/>
      <c r="B160" s="33">
        <v>111</v>
      </c>
      <c r="C160" s="33">
        <v>1014</v>
      </c>
      <c r="D160" s="33" t="s">
        <v>890</v>
      </c>
      <c r="E160" s="34"/>
      <c r="F160" s="34" t="s">
        <v>429</v>
      </c>
      <c r="G160" s="34" t="s">
        <v>430</v>
      </c>
      <c r="H160" s="34"/>
      <c r="I160" s="34"/>
      <c r="J160" s="34"/>
      <c r="K160" s="34"/>
      <c r="L160" s="34"/>
      <c r="M160" s="34" t="s">
        <v>445</v>
      </c>
      <c r="N160" s="34"/>
      <c r="O160" s="34" t="s">
        <v>11</v>
      </c>
      <c r="P160" s="35">
        <v>388000</v>
      </c>
      <c r="Q160" s="35">
        <f>P160*$U$3</f>
        <v>7178000</v>
      </c>
      <c r="R160" s="35">
        <v>135820</v>
      </c>
      <c r="S160" s="35"/>
      <c r="T160" s="35">
        <f>P160-R160</f>
        <v>252180</v>
      </c>
      <c r="U160" s="35">
        <f>T160*U$3</f>
        <v>4665330</v>
      </c>
      <c r="V160" s="36"/>
      <c r="W160" s="37" t="s">
        <v>55</v>
      </c>
      <c r="X160" s="35" t="e">
        <f>VLOOKUP(C160,Banorte!F:K,6,FALSE)</f>
        <v>#N/A</v>
      </c>
      <c r="Y160" s="35"/>
      <c r="Z160" s="35" t="e">
        <f>X160-Y160</f>
        <v>#N/A</v>
      </c>
      <c r="AA160" s="38"/>
      <c r="AB160" s="34"/>
      <c r="AC160" s="43"/>
      <c r="AD160" s="44"/>
      <c r="AE160" s="33"/>
      <c r="AF160" s="39"/>
      <c r="AG160" s="40"/>
      <c r="AH160" s="114"/>
      <c r="AI160" s="109">
        <v>46211</v>
      </c>
      <c r="AJ160" s="116"/>
      <c r="AK160" s="41"/>
      <c r="AL160" s="33"/>
      <c r="AM160" s="33"/>
      <c r="AN160" s="42"/>
      <c r="AO160" s="108">
        <v>1014</v>
      </c>
      <c r="AP160" s="113">
        <v>46183</v>
      </c>
      <c r="AQ160" s="109">
        <v>46211</v>
      </c>
      <c r="AR160" s="110" t="s">
        <v>445</v>
      </c>
      <c r="AS160" s="110"/>
    </row>
    <row r="161" spans="1:45" x14ac:dyDescent="0.2">
      <c r="A161" s="60"/>
      <c r="B161" s="33">
        <v>132</v>
      </c>
      <c r="C161" s="34">
        <v>1015</v>
      </c>
      <c r="D161" s="34" t="s">
        <v>891</v>
      </c>
      <c r="E161" s="34"/>
      <c r="F161" s="34" t="s">
        <v>531</v>
      </c>
      <c r="G161" s="34" t="s">
        <v>532</v>
      </c>
      <c r="H161" s="34" t="s">
        <v>533</v>
      </c>
      <c r="I161" s="34"/>
      <c r="J161" s="34"/>
      <c r="K161" s="34"/>
      <c r="L161" s="34"/>
      <c r="M161" s="34" t="s">
        <v>58</v>
      </c>
      <c r="N161" s="34"/>
      <c r="O161" s="34" t="s">
        <v>11</v>
      </c>
      <c r="P161" s="35"/>
      <c r="Q161" s="35">
        <v>7692798.0800000001</v>
      </c>
      <c r="R161" s="35"/>
      <c r="S161" s="35">
        <v>2692479.31</v>
      </c>
      <c r="T161" s="35"/>
      <c r="U161" s="35">
        <f>Q161-S161</f>
        <v>5000318.7699999996</v>
      </c>
      <c r="V161" s="36"/>
      <c r="W161" s="37"/>
      <c r="X161" s="35" t="e">
        <f>VLOOKUP(C161,Banorte!F:K,6,FALSE)</f>
        <v>#N/A</v>
      </c>
      <c r="Y161" s="35"/>
      <c r="Z161" s="35" t="e">
        <f>X161-Y161</f>
        <v>#N/A</v>
      </c>
      <c r="AA161" s="37"/>
      <c r="AB161" s="34"/>
      <c r="AC161" s="43"/>
      <c r="AD161" s="44"/>
      <c r="AE161" s="34"/>
      <c r="AF161" s="39"/>
      <c r="AG161" s="40"/>
      <c r="AH161" s="114"/>
      <c r="AI161" s="109">
        <v>46211</v>
      </c>
      <c r="AJ161" s="116"/>
      <c r="AK161" s="41"/>
      <c r="AL161" s="33"/>
      <c r="AM161" s="33"/>
      <c r="AN161" s="42"/>
      <c r="AO161" s="108">
        <v>1015</v>
      </c>
      <c r="AP161" s="113">
        <v>46183</v>
      </c>
      <c r="AQ161" s="109">
        <v>46211</v>
      </c>
      <c r="AR161" s="110" t="s">
        <v>58</v>
      </c>
      <c r="AS161" s="110"/>
    </row>
    <row r="162" spans="1:45" x14ac:dyDescent="0.2">
      <c r="A162" s="60"/>
      <c r="B162" s="33">
        <v>133</v>
      </c>
      <c r="C162" s="34">
        <v>1016</v>
      </c>
      <c r="D162" s="34" t="s">
        <v>891</v>
      </c>
      <c r="E162" s="34"/>
      <c r="F162" s="34" t="s">
        <v>534</v>
      </c>
      <c r="G162" s="34" t="s">
        <v>79</v>
      </c>
      <c r="H162" s="34" t="s">
        <v>535</v>
      </c>
      <c r="I162" s="34"/>
      <c r="J162" s="34"/>
      <c r="K162" s="34"/>
      <c r="L162" s="34"/>
      <c r="M162" s="34" t="s">
        <v>58</v>
      </c>
      <c r="N162" s="34"/>
      <c r="O162" s="34" t="s">
        <v>11</v>
      </c>
      <c r="P162" s="35"/>
      <c r="Q162" s="35">
        <v>9300000</v>
      </c>
      <c r="R162" s="35"/>
      <c r="S162" s="35">
        <v>2790000</v>
      </c>
      <c r="T162" s="35"/>
      <c r="U162" s="35">
        <f>Q162-S162</f>
        <v>6510000</v>
      </c>
      <c r="V162" s="36"/>
      <c r="W162" s="37"/>
      <c r="X162" s="35" t="e">
        <f>VLOOKUP(C162,Banorte!F:K,6,FALSE)</f>
        <v>#N/A</v>
      </c>
      <c r="Y162" s="35"/>
      <c r="Z162" s="35" t="e">
        <f>X162-Y162</f>
        <v>#N/A</v>
      </c>
      <c r="AA162" s="38"/>
      <c r="AB162" s="34"/>
      <c r="AC162" s="43"/>
      <c r="AD162" s="44"/>
      <c r="AE162" s="33"/>
      <c r="AF162" s="39"/>
      <c r="AG162" s="40"/>
      <c r="AH162" s="114"/>
      <c r="AI162" s="109">
        <v>46211</v>
      </c>
      <c r="AJ162" s="116"/>
      <c r="AK162" s="41"/>
      <c r="AL162" s="33"/>
      <c r="AM162" s="33"/>
      <c r="AN162" s="42"/>
      <c r="AO162" s="108">
        <v>1016</v>
      </c>
      <c r="AP162" s="113">
        <v>46183</v>
      </c>
      <c r="AQ162" s="109">
        <v>46211</v>
      </c>
      <c r="AR162" s="110" t="s">
        <v>58</v>
      </c>
      <c r="AS162" s="110"/>
    </row>
    <row r="163" spans="1:45" x14ac:dyDescent="0.2">
      <c r="A163" s="60"/>
      <c r="B163" s="33">
        <v>134</v>
      </c>
      <c r="C163" s="34">
        <v>1017</v>
      </c>
      <c r="D163" s="34" t="s">
        <v>891</v>
      </c>
      <c r="E163" s="34"/>
      <c r="F163" s="34" t="s">
        <v>536</v>
      </c>
      <c r="G163" s="34" t="s">
        <v>537</v>
      </c>
      <c r="H163" s="34" t="s">
        <v>538</v>
      </c>
      <c r="I163" s="34"/>
      <c r="J163" s="34"/>
      <c r="K163" s="34"/>
      <c r="L163" s="34"/>
      <c r="M163" s="34" t="s">
        <v>58</v>
      </c>
      <c r="N163" s="34"/>
      <c r="O163" s="34" t="s">
        <v>11</v>
      </c>
      <c r="P163" s="35"/>
      <c r="Q163" s="35">
        <v>7040000</v>
      </c>
      <c r="R163" s="35"/>
      <c r="S163" s="35">
        <v>2112000</v>
      </c>
      <c r="T163" s="35"/>
      <c r="U163" s="35">
        <f>Q163-S163</f>
        <v>4928000</v>
      </c>
      <c r="V163" s="36"/>
      <c r="W163" s="37"/>
      <c r="X163" s="35" t="e">
        <f>VLOOKUP(C163,Banorte!F:K,6,FALSE)</f>
        <v>#N/A</v>
      </c>
      <c r="Y163" s="35"/>
      <c r="Z163" s="35" t="e">
        <f>X163-Y163</f>
        <v>#N/A</v>
      </c>
      <c r="AA163" s="37"/>
      <c r="AB163" s="34"/>
      <c r="AC163" s="43"/>
      <c r="AD163" s="44"/>
      <c r="AE163" s="34"/>
      <c r="AF163" s="39"/>
      <c r="AG163" s="40"/>
      <c r="AH163" s="114"/>
      <c r="AI163" s="109">
        <v>46211</v>
      </c>
      <c r="AJ163" s="116"/>
      <c r="AK163" s="41"/>
      <c r="AL163" s="33"/>
      <c r="AM163" s="33"/>
      <c r="AN163" s="42"/>
      <c r="AO163" s="108">
        <v>1017</v>
      </c>
      <c r="AP163" s="113">
        <v>46183</v>
      </c>
      <c r="AQ163" s="109">
        <v>46211</v>
      </c>
      <c r="AR163" s="110" t="s">
        <v>58</v>
      </c>
      <c r="AS163" s="110"/>
    </row>
    <row r="164" spans="1:45" x14ac:dyDescent="0.2">
      <c r="A164" s="60"/>
      <c r="B164" s="33">
        <v>136</v>
      </c>
      <c r="C164" s="34">
        <v>1101</v>
      </c>
      <c r="D164" s="34" t="s">
        <v>891</v>
      </c>
      <c r="E164" s="34"/>
      <c r="F164" s="34" t="s">
        <v>95</v>
      </c>
      <c r="G164" s="34" t="s">
        <v>542</v>
      </c>
      <c r="H164" s="34" t="s">
        <v>543</v>
      </c>
      <c r="I164" s="34"/>
      <c r="J164" s="34"/>
      <c r="K164" s="34"/>
      <c r="L164" s="34"/>
      <c r="M164" s="34" t="s">
        <v>58</v>
      </c>
      <c r="N164" s="34"/>
      <c r="O164" s="34" t="s">
        <v>11</v>
      </c>
      <c r="P164" s="35"/>
      <c r="Q164" s="35">
        <v>9690000</v>
      </c>
      <c r="R164" s="35"/>
      <c r="S164" s="35">
        <v>2907000</v>
      </c>
      <c r="T164" s="35"/>
      <c r="U164" s="35">
        <f>Q164-S164</f>
        <v>6783000</v>
      </c>
      <c r="V164" s="36"/>
      <c r="W164" s="37"/>
      <c r="X164" s="35" t="e">
        <f>VLOOKUP(C164,Banorte!F:K,6,FALSE)</f>
        <v>#N/A</v>
      </c>
      <c r="Y164" s="35"/>
      <c r="Z164" s="35" t="e">
        <f>X164-Y164</f>
        <v>#N/A</v>
      </c>
      <c r="AA164" s="38"/>
      <c r="AB164" s="34"/>
      <c r="AC164" s="43"/>
      <c r="AD164" s="44"/>
      <c r="AE164" s="33"/>
      <c r="AF164" s="39"/>
      <c r="AG164" s="40"/>
      <c r="AH164" s="114"/>
      <c r="AI164" s="109">
        <v>46244</v>
      </c>
      <c r="AJ164" s="116"/>
      <c r="AK164" s="41"/>
      <c r="AL164" s="33"/>
      <c r="AM164" s="33"/>
      <c r="AN164" s="42"/>
      <c r="AO164" s="108">
        <v>1101</v>
      </c>
      <c r="AP164" s="113">
        <v>46213</v>
      </c>
      <c r="AQ164" s="109">
        <v>46244</v>
      </c>
      <c r="AR164" s="110" t="s">
        <v>58</v>
      </c>
      <c r="AS164" s="110"/>
    </row>
    <row r="165" spans="1:45" x14ac:dyDescent="0.2">
      <c r="A165" s="60"/>
      <c r="B165" s="33">
        <v>137</v>
      </c>
      <c r="C165" s="34">
        <v>1102</v>
      </c>
      <c r="D165" s="34" t="s">
        <v>891</v>
      </c>
      <c r="E165" s="34"/>
      <c r="F165" s="34" t="s">
        <v>544</v>
      </c>
      <c r="G165" s="34" t="s">
        <v>545</v>
      </c>
      <c r="H165" s="34" t="s">
        <v>546</v>
      </c>
      <c r="I165" s="34"/>
      <c r="J165" s="34"/>
      <c r="K165" s="34"/>
      <c r="L165" s="34"/>
      <c r="M165" s="34" t="s">
        <v>58</v>
      </c>
      <c r="N165" s="34"/>
      <c r="O165" s="34" t="s">
        <v>11</v>
      </c>
      <c r="P165" s="35"/>
      <c r="Q165" s="35">
        <v>9922500</v>
      </c>
      <c r="R165" s="35"/>
      <c r="S165" s="35">
        <v>9922500</v>
      </c>
      <c r="T165" s="35"/>
      <c r="U165" s="35">
        <f>Q165-S165</f>
        <v>0</v>
      </c>
      <c r="V165" s="36"/>
      <c r="W165" s="37"/>
      <c r="X165" s="35" t="e">
        <f>VLOOKUP(C165,Banorte!F:K,6,FALSE)</f>
        <v>#N/A</v>
      </c>
      <c r="Y165" s="35"/>
      <c r="Z165" s="35" t="e">
        <f>X165-Y165</f>
        <v>#N/A</v>
      </c>
      <c r="AA165" s="37"/>
      <c r="AB165" s="34"/>
      <c r="AC165" s="43"/>
      <c r="AD165" s="44"/>
      <c r="AE165" s="34"/>
      <c r="AF165" s="39"/>
      <c r="AG165" s="40"/>
      <c r="AH165" s="114"/>
      <c r="AI165" s="109">
        <v>46244</v>
      </c>
      <c r="AJ165" s="116"/>
      <c r="AK165" s="41"/>
      <c r="AL165" s="33"/>
      <c r="AM165" s="33"/>
      <c r="AN165" s="42"/>
      <c r="AO165" s="112">
        <v>1102</v>
      </c>
      <c r="AP165" s="113">
        <v>46213</v>
      </c>
      <c r="AQ165" s="109">
        <v>46244</v>
      </c>
      <c r="AR165" s="110" t="s">
        <v>58</v>
      </c>
      <c r="AS165" s="110" t="s">
        <v>34</v>
      </c>
    </row>
    <row r="166" spans="1:45" x14ac:dyDescent="0.2">
      <c r="A166" s="60"/>
      <c r="B166" s="33">
        <v>138</v>
      </c>
      <c r="C166" s="34">
        <v>1103</v>
      </c>
      <c r="D166" s="34" t="s">
        <v>891</v>
      </c>
      <c r="E166" s="34"/>
      <c r="F166" s="34"/>
      <c r="G166" s="34"/>
      <c r="H166" s="34"/>
      <c r="I166" s="34"/>
      <c r="J166" s="34"/>
      <c r="K166" s="34"/>
      <c r="L166" s="34"/>
      <c r="M166" s="34" t="s">
        <v>58</v>
      </c>
      <c r="N166" s="34"/>
      <c r="O166" s="34" t="s">
        <v>12</v>
      </c>
      <c r="P166" s="35"/>
      <c r="Q166" s="35"/>
      <c r="R166" s="35"/>
      <c r="S166" s="35"/>
      <c r="T166" s="35"/>
      <c r="U166" s="35">
        <f>Q166-S166</f>
        <v>0</v>
      </c>
      <c r="V166" s="36"/>
      <c r="W166" s="37"/>
      <c r="X166" s="35" t="e">
        <f>VLOOKUP(C166,Banorte!F:K,6,FALSE)</f>
        <v>#N/A</v>
      </c>
      <c r="Y166" s="35"/>
      <c r="Z166" s="35" t="e">
        <f>X166-Y166</f>
        <v>#N/A</v>
      </c>
      <c r="AA166" s="37"/>
      <c r="AB166" s="34"/>
      <c r="AC166" s="43"/>
      <c r="AD166" s="44"/>
      <c r="AE166" s="34"/>
      <c r="AF166" s="39"/>
      <c r="AG166" s="40"/>
      <c r="AH166" s="114"/>
      <c r="AI166" s="109">
        <v>46244</v>
      </c>
      <c r="AJ166" s="116"/>
      <c r="AK166" s="41"/>
      <c r="AL166" s="33"/>
      <c r="AM166" s="33"/>
      <c r="AN166" s="42"/>
      <c r="AO166" s="111">
        <v>1103</v>
      </c>
      <c r="AP166" s="113">
        <v>46213</v>
      </c>
      <c r="AQ166" s="109">
        <v>46244</v>
      </c>
      <c r="AR166" s="110" t="s">
        <v>58</v>
      </c>
      <c r="AS166" s="110" t="s">
        <v>902</v>
      </c>
    </row>
    <row r="167" spans="1:45" x14ac:dyDescent="0.2">
      <c r="A167" s="60"/>
      <c r="B167" s="33">
        <v>139</v>
      </c>
      <c r="C167" s="34">
        <v>1104</v>
      </c>
      <c r="D167" s="34" t="s">
        <v>891</v>
      </c>
      <c r="E167" s="34"/>
      <c r="F167" s="34" t="s">
        <v>547</v>
      </c>
      <c r="G167" s="34" t="s">
        <v>548</v>
      </c>
      <c r="H167" s="34" t="s">
        <v>549</v>
      </c>
      <c r="I167" s="34"/>
      <c r="J167" s="34"/>
      <c r="K167" s="34"/>
      <c r="L167" s="34"/>
      <c r="M167" s="34" t="s">
        <v>58</v>
      </c>
      <c r="N167" s="34"/>
      <c r="O167" s="34" t="s">
        <v>11</v>
      </c>
      <c r="P167" s="35"/>
      <c r="Q167" s="35">
        <v>11370000</v>
      </c>
      <c r="R167" s="35"/>
      <c r="S167" s="35">
        <v>3436000</v>
      </c>
      <c r="T167" s="35"/>
      <c r="U167" s="35">
        <f>Q167-S167</f>
        <v>7934000</v>
      </c>
      <c r="V167" s="36"/>
      <c r="W167" s="37"/>
      <c r="X167" s="35" t="e">
        <f>VLOOKUP(C167,Banorte!F:K,6,FALSE)</f>
        <v>#N/A</v>
      </c>
      <c r="Y167" s="35"/>
      <c r="Z167" s="35" t="e">
        <f>X167-Y167</f>
        <v>#N/A</v>
      </c>
      <c r="AA167" s="38"/>
      <c r="AB167" s="34"/>
      <c r="AC167" s="43"/>
      <c r="AD167" s="44"/>
      <c r="AE167" s="33"/>
      <c r="AF167" s="39"/>
      <c r="AG167" s="40"/>
      <c r="AH167" s="114"/>
      <c r="AI167" s="109">
        <v>46244</v>
      </c>
      <c r="AJ167" s="116"/>
      <c r="AK167" s="41"/>
      <c r="AL167" s="33"/>
      <c r="AM167" s="33"/>
      <c r="AN167" s="42"/>
      <c r="AO167" s="108">
        <v>1104</v>
      </c>
      <c r="AP167" s="113">
        <v>46213</v>
      </c>
      <c r="AQ167" s="109">
        <v>46244</v>
      </c>
      <c r="AR167" s="110" t="s">
        <v>58</v>
      </c>
      <c r="AS167" s="110"/>
    </row>
    <row r="168" spans="1:45" x14ac:dyDescent="0.2">
      <c r="A168" s="60"/>
      <c r="B168" s="33">
        <v>140</v>
      </c>
      <c r="C168" s="34">
        <v>1105</v>
      </c>
      <c r="D168" s="34" t="s">
        <v>891</v>
      </c>
      <c r="E168" s="34"/>
      <c r="F168" s="34" t="s">
        <v>550</v>
      </c>
      <c r="G168" s="34" t="s">
        <v>551</v>
      </c>
      <c r="H168" s="34" t="s">
        <v>552</v>
      </c>
      <c r="I168" s="34"/>
      <c r="J168" s="34"/>
      <c r="K168" s="34"/>
      <c r="L168" s="34"/>
      <c r="M168" s="34" t="s">
        <v>58</v>
      </c>
      <c r="N168" s="34"/>
      <c r="O168" s="34" t="s">
        <v>11</v>
      </c>
      <c r="P168" s="35"/>
      <c r="Q168" s="35">
        <v>12990000</v>
      </c>
      <c r="R168" s="35"/>
      <c r="S168" s="35">
        <v>3897000</v>
      </c>
      <c r="T168" s="35"/>
      <c r="U168" s="35">
        <f>Q168-S168</f>
        <v>9093000</v>
      </c>
      <c r="V168" s="36"/>
      <c r="W168" s="37"/>
      <c r="X168" s="35" t="e">
        <f>VLOOKUP(C168,Banorte!F:K,6,FALSE)</f>
        <v>#N/A</v>
      </c>
      <c r="Y168" s="35"/>
      <c r="Z168" s="35" t="e">
        <f>X168-Y168</f>
        <v>#N/A</v>
      </c>
      <c r="AA168" s="37"/>
      <c r="AB168" s="34"/>
      <c r="AC168" s="43"/>
      <c r="AD168" s="44"/>
      <c r="AE168" s="34"/>
      <c r="AF168" s="39"/>
      <c r="AG168" s="40"/>
      <c r="AH168" s="114"/>
      <c r="AI168" s="109">
        <v>46244</v>
      </c>
      <c r="AJ168" s="116"/>
      <c r="AK168" s="41"/>
      <c r="AL168" s="33"/>
      <c r="AM168" s="33"/>
      <c r="AN168" s="42"/>
      <c r="AO168" s="108">
        <v>1105</v>
      </c>
      <c r="AP168" s="113">
        <v>46213</v>
      </c>
      <c r="AQ168" s="109">
        <v>46244</v>
      </c>
      <c r="AR168" s="110" t="s">
        <v>58</v>
      </c>
      <c r="AS168" s="110"/>
    </row>
    <row r="169" spans="1:45" x14ac:dyDescent="0.2">
      <c r="A169" s="60"/>
      <c r="B169" s="33">
        <v>141</v>
      </c>
      <c r="C169" s="34">
        <v>1106</v>
      </c>
      <c r="D169" s="34" t="s">
        <v>891</v>
      </c>
      <c r="E169" s="34"/>
      <c r="F169" s="34" t="s">
        <v>553</v>
      </c>
      <c r="G169" s="34" t="s">
        <v>554</v>
      </c>
      <c r="H169" s="34"/>
      <c r="I169" s="34"/>
      <c r="J169" s="34"/>
      <c r="K169" s="34"/>
      <c r="L169" s="34"/>
      <c r="M169" s="34" t="s">
        <v>58</v>
      </c>
      <c r="N169" s="34"/>
      <c r="O169" s="34" t="s">
        <v>11</v>
      </c>
      <c r="P169" s="35"/>
      <c r="Q169" s="35">
        <v>11175491.25</v>
      </c>
      <c r="R169" s="35"/>
      <c r="S169" s="35">
        <v>2514485.5299999998</v>
      </c>
      <c r="T169" s="35"/>
      <c r="U169" s="35">
        <f>Q169-S169</f>
        <v>8661005.7200000007</v>
      </c>
      <c r="V169" s="36"/>
      <c r="W169" s="37"/>
      <c r="X169" s="35" t="e">
        <f>VLOOKUP(C169,Banorte!F:K,6,FALSE)</f>
        <v>#N/A</v>
      </c>
      <c r="Y169" s="35"/>
      <c r="Z169" s="35" t="e">
        <f>X169-Y169</f>
        <v>#N/A</v>
      </c>
      <c r="AA169" s="37"/>
      <c r="AB169" s="34"/>
      <c r="AC169" s="43"/>
      <c r="AD169" s="44"/>
      <c r="AE169" s="34"/>
      <c r="AF169" s="39"/>
      <c r="AG169" s="40"/>
      <c r="AH169" s="114"/>
      <c r="AI169" s="109">
        <v>46244</v>
      </c>
      <c r="AJ169" s="116"/>
      <c r="AK169" s="41"/>
      <c r="AL169" s="33"/>
      <c r="AM169" s="33"/>
      <c r="AN169" s="42"/>
      <c r="AO169" s="108">
        <v>1106</v>
      </c>
      <c r="AP169" s="113">
        <v>46213</v>
      </c>
      <c r="AQ169" s="109">
        <v>46244</v>
      </c>
      <c r="AR169" s="110" t="s">
        <v>58</v>
      </c>
      <c r="AS169" s="110"/>
    </row>
    <row r="170" spans="1:45" x14ac:dyDescent="0.2">
      <c r="A170" s="60"/>
      <c r="B170" s="33">
        <v>142</v>
      </c>
      <c r="C170" s="34">
        <v>1107</v>
      </c>
      <c r="D170" s="34" t="s">
        <v>891</v>
      </c>
      <c r="E170" s="34"/>
      <c r="F170" s="34" t="s">
        <v>555</v>
      </c>
      <c r="G170" s="34" t="s">
        <v>556</v>
      </c>
      <c r="H170" s="34" t="s">
        <v>557</v>
      </c>
      <c r="I170" s="34"/>
      <c r="J170" s="34"/>
      <c r="K170" s="34"/>
      <c r="L170" s="34"/>
      <c r="M170" s="34" t="s">
        <v>58</v>
      </c>
      <c r="N170" s="34"/>
      <c r="O170" s="34" t="s">
        <v>11</v>
      </c>
      <c r="P170" s="35"/>
      <c r="Q170" s="35">
        <v>9736728.75</v>
      </c>
      <c r="R170" s="35"/>
      <c r="S170" s="35">
        <v>3894691.5</v>
      </c>
      <c r="T170" s="35"/>
      <c r="U170" s="35">
        <f>Q170-S170</f>
        <v>5842037.25</v>
      </c>
      <c r="V170" s="36"/>
      <c r="W170" s="37"/>
      <c r="X170" s="35" t="e">
        <f>VLOOKUP(C170,Banorte!F:K,6,FALSE)</f>
        <v>#N/A</v>
      </c>
      <c r="Y170" s="35"/>
      <c r="Z170" s="35" t="e">
        <f>X170-Y170</f>
        <v>#N/A</v>
      </c>
      <c r="AA170" s="38"/>
      <c r="AB170" s="34"/>
      <c r="AC170" s="43"/>
      <c r="AD170" s="44"/>
      <c r="AE170" s="33"/>
      <c r="AF170" s="39"/>
      <c r="AG170" s="40"/>
      <c r="AH170" s="114"/>
      <c r="AI170" s="109">
        <v>46244</v>
      </c>
      <c r="AJ170" s="116"/>
      <c r="AK170" s="41"/>
      <c r="AL170" s="33"/>
      <c r="AM170" s="33"/>
      <c r="AN170" s="42"/>
      <c r="AO170" s="108">
        <v>1107</v>
      </c>
      <c r="AP170" s="113">
        <v>46213</v>
      </c>
      <c r="AQ170" s="109">
        <v>46244</v>
      </c>
      <c r="AR170" s="110" t="s">
        <v>58</v>
      </c>
      <c r="AS170" s="110"/>
    </row>
    <row r="171" spans="1:45" x14ac:dyDescent="0.2">
      <c r="A171" s="60"/>
      <c r="B171" s="33">
        <v>143</v>
      </c>
      <c r="C171" s="34">
        <v>1108</v>
      </c>
      <c r="D171" s="34" t="s">
        <v>891</v>
      </c>
      <c r="E171" s="34"/>
      <c r="F171" s="34" t="s">
        <v>558</v>
      </c>
      <c r="G171" s="34" t="s">
        <v>559</v>
      </c>
      <c r="H171" s="34" t="s">
        <v>560</v>
      </c>
      <c r="I171" s="34"/>
      <c r="J171" s="34"/>
      <c r="K171" s="34"/>
      <c r="L171" s="34"/>
      <c r="M171" s="34" t="s">
        <v>58</v>
      </c>
      <c r="N171" s="34"/>
      <c r="O171" s="34" t="s">
        <v>11</v>
      </c>
      <c r="P171" s="35"/>
      <c r="Q171" s="35">
        <v>7600000</v>
      </c>
      <c r="R171" s="35"/>
      <c r="S171" s="35">
        <v>2280000</v>
      </c>
      <c r="T171" s="35"/>
      <c r="U171" s="35">
        <f>Q171-S171</f>
        <v>5320000</v>
      </c>
      <c r="V171" s="36"/>
      <c r="W171" s="37"/>
      <c r="X171" s="35" t="e">
        <f>VLOOKUP(C171,Banorte!F:K,6,FALSE)</f>
        <v>#N/A</v>
      </c>
      <c r="Y171" s="35"/>
      <c r="Z171" s="35" t="e">
        <f>X171-Y171</f>
        <v>#N/A</v>
      </c>
      <c r="AA171" s="37"/>
      <c r="AB171" s="34"/>
      <c r="AC171" s="43"/>
      <c r="AD171" s="44"/>
      <c r="AE171" s="34"/>
      <c r="AF171" s="39"/>
      <c r="AG171" s="40"/>
      <c r="AH171" s="114"/>
      <c r="AI171" s="109">
        <v>46244</v>
      </c>
      <c r="AJ171" s="116"/>
      <c r="AK171" s="41"/>
      <c r="AL171" s="33"/>
      <c r="AM171" s="33"/>
      <c r="AN171" s="42"/>
      <c r="AO171" s="108">
        <v>1108</v>
      </c>
      <c r="AP171" s="113">
        <v>46213</v>
      </c>
      <c r="AQ171" s="109">
        <v>46244</v>
      </c>
      <c r="AR171" s="110" t="s">
        <v>58</v>
      </c>
      <c r="AS171" s="110"/>
    </row>
    <row r="172" spans="1:45" x14ac:dyDescent="0.2">
      <c r="A172" s="60"/>
      <c r="B172" s="33">
        <v>144</v>
      </c>
      <c r="C172" s="34">
        <v>1109</v>
      </c>
      <c r="D172" s="34" t="s">
        <v>891</v>
      </c>
      <c r="E172" s="34"/>
      <c r="F172" s="34" t="s">
        <v>561</v>
      </c>
      <c r="G172" s="34" t="s">
        <v>562</v>
      </c>
      <c r="H172" s="34" t="s">
        <v>563</v>
      </c>
      <c r="I172" s="34"/>
      <c r="J172" s="34"/>
      <c r="K172" s="34"/>
      <c r="L172" s="34"/>
      <c r="M172" s="34" t="s">
        <v>58</v>
      </c>
      <c r="N172" s="34"/>
      <c r="O172" s="34" t="s">
        <v>11</v>
      </c>
      <c r="P172" s="35"/>
      <c r="Q172" s="35">
        <v>9691500</v>
      </c>
      <c r="R172" s="35"/>
      <c r="S172" s="35">
        <v>2907450</v>
      </c>
      <c r="T172" s="35"/>
      <c r="U172" s="35">
        <f>Q172-S172</f>
        <v>6784050</v>
      </c>
      <c r="V172" s="36"/>
      <c r="W172" s="37"/>
      <c r="X172" s="35" t="e">
        <f>VLOOKUP(C172,Banorte!F:K,6,FALSE)</f>
        <v>#N/A</v>
      </c>
      <c r="Y172" s="35"/>
      <c r="Z172" s="35" t="e">
        <f>X172-Y172</f>
        <v>#N/A</v>
      </c>
      <c r="AA172" s="38"/>
      <c r="AB172" s="34"/>
      <c r="AC172" s="43"/>
      <c r="AD172" s="44"/>
      <c r="AE172" s="33"/>
      <c r="AF172" s="39"/>
      <c r="AG172" s="40"/>
      <c r="AH172" s="114"/>
      <c r="AI172" s="109">
        <v>46244</v>
      </c>
      <c r="AJ172" s="116"/>
      <c r="AK172" s="41"/>
      <c r="AL172" s="33"/>
      <c r="AM172" s="33"/>
      <c r="AN172" s="42"/>
      <c r="AO172" s="108">
        <v>1109</v>
      </c>
      <c r="AP172" s="113">
        <v>46213</v>
      </c>
      <c r="AQ172" s="109">
        <v>46244</v>
      </c>
      <c r="AR172" s="110" t="s">
        <v>58</v>
      </c>
      <c r="AS172" s="110"/>
    </row>
    <row r="173" spans="1:45" x14ac:dyDescent="0.2">
      <c r="A173" s="60"/>
      <c r="B173" s="33">
        <v>145</v>
      </c>
      <c r="C173" s="34">
        <v>1110</v>
      </c>
      <c r="D173" s="34" t="s">
        <v>891</v>
      </c>
      <c r="E173" s="34"/>
      <c r="F173" s="34" t="s">
        <v>564</v>
      </c>
      <c r="G173" s="34" t="s">
        <v>565</v>
      </c>
      <c r="H173" s="34" t="s">
        <v>566</v>
      </c>
      <c r="I173" s="34"/>
      <c r="J173" s="34"/>
      <c r="K173" s="34"/>
      <c r="L173" s="34"/>
      <c r="M173" s="34" t="s">
        <v>58</v>
      </c>
      <c r="N173" s="34"/>
      <c r="O173" s="34" t="s">
        <v>11</v>
      </c>
      <c r="P173" s="35"/>
      <c r="Q173" s="35">
        <v>10821037.5</v>
      </c>
      <c r="R173" s="35"/>
      <c r="S173" s="35">
        <v>7905010</v>
      </c>
      <c r="T173" s="35"/>
      <c r="U173" s="35">
        <f>Q173-S173</f>
        <v>2916027.5</v>
      </c>
      <c r="V173" s="36"/>
      <c r="W173" s="37"/>
      <c r="X173" s="35" t="e">
        <f>VLOOKUP(C173,Banorte!F:K,6,FALSE)</f>
        <v>#N/A</v>
      </c>
      <c r="Y173" s="35"/>
      <c r="Z173" s="35" t="e">
        <f>X173-Y173</f>
        <v>#N/A</v>
      </c>
      <c r="AA173" s="37"/>
      <c r="AB173" s="34"/>
      <c r="AC173" s="43"/>
      <c r="AD173" s="44"/>
      <c r="AE173" s="34"/>
      <c r="AF173" s="39"/>
      <c r="AG173" s="40"/>
      <c r="AH173" s="114"/>
      <c r="AI173" s="109">
        <v>46244</v>
      </c>
      <c r="AJ173" s="116"/>
      <c r="AK173" s="41"/>
      <c r="AL173" s="33"/>
      <c r="AM173" s="33"/>
      <c r="AN173" s="42"/>
      <c r="AO173" s="108">
        <v>1110</v>
      </c>
      <c r="AP173" s="113">
        <v>46213</v>
      </c>
      <c r="AQ173" s="109">
        <v>46244</v>
      </c>
      <c r="AR173" s="110" t="s">
        <v>58</v>
      </c>
      <c r="AS173" s="110"/>
    </row>
    <row r="174" spans="1:45" x14ac:dyDescent="0.2">
      <c r="A174" s="60"/>
      <c r="B174" s="33">
        <v>146</v>
      </c>
      <c r="C174" s="34">
        <v>1111</v>
      </c>
      <c r="D174" s="34" t="s">
        <v>891</v>
      </c>
      <c r="E174" s="34"/>
      <c r="F174" s="34" t="s">
        <v>567</v>
      </c>
      <c r="G174" s="34" t="s">
        <v>568</v>
      </c>
      <c r="H174" s="34" t="s">
        <v>80</v>
      </c>
      <c r="I174" s="34"/>
      <c r="J174" s="34"/>
      <c r="K174" s="34"/>
      <c r="L174" s="34"/>
      <c r="M174" s="34" t="s">
        <v>58</v>
      </c>
      <c r="N174" s="34"/>
      <c r="O174" s="34" t="s">
        <v>11</v>
      </c>
      <c r="P174" s="35"/>
      <c r="Q174" s="35">
        <v>11454975</v>
      </c>
      <c r="R174" s="35"/>
      <c r="S174" s="35">
        <v>3454975</v>
      </c>
      <c r="T174" s="35"/>
      <c r="U174" s="35">
        <f>Q174-S174</f>
        <v>8000000</v>
      </c>
      <c r="V174" s="36"/>
      <c r="W174" s="37"/>
      <c r="X174" s="35" t="e">
        <f>VLOOKUP(C174,Banorte!F:K,6,FALSE)</f>
        <v>#N/A</v>
      </c>
      <c r="Y174" s="35"/>
      <c r="Z174" s="35" t="e">
        <f>X174-Y174</f>
        <v>#N/A</v>
      </c>
      <c r="AA174" s="37"/>
      <c r="AB174" s="34"/>
      <c r="AC174" s="43"/>
      <c r="AD174" s="44"/>
      <c r="AE174" s="34"/>
      <c r="AF174" s="39"/>
      <c r="AG174" s="40"/>
      <c r="AH174" s="114"/>
      <c r="AI174" s="109">
        <v>46244</v>
      </c>
      <c r="AJ174" s="116"/>
      <c r="AK174" s="41"/>
      <c r="AL174" s="33"/>
      <c r="AM174" s="33"/>
      <c r="AN174" s="42"/>
      <c r="AO174" s="108">
        <v>1111</v>
      </c>
      <c r="AP174" s="113">
        <v>46213</v>
      </c>
      <c r="AQ174" s="109">
        <v>46244</v>
      </c>
      <c r="AR174" s="110" t="s">
        <v>58</v>
      </c>
      <c r="AS174" s="110"/>
    </row>
    <row r="175" spans="1:45" x14ac:dyDescent="0.2">
      <c r="A175" s="60"/>
      <c r="B175" s="33">
        <v>147</v>
      </c>
      <c r="C175" s="34">
        <v>1112</v>
      </c>
      <c r="D175" s="34" t="s">
        <v>891</v>
      </c>
      <c r="E175" s="34"/>
      <c r="F175" s="34" t="s">
        <v>569</v>
      </c>
      <c r="G175" s="34" t="s">
        <v>570</v>
      </c>
      <c r="H175" s="34" t="s">
        <v>571</v>
      </c>
      <c r="I175" s="34"/>
      <c r="J175" s="34"/>
      <c r="K175" s="34"/>
      <c r="L175" s="34"/>
      <c r="M175" s="34" t="s">
        <v>58</v>
      </c>
      <c r="N175" s="34"/>
      <c r="O175" s="34" t="s">
        <v>11</v>
      </c>
      <c r="P175" s="35"/>
      <c r="Q175" s="35">
        <v>11233096.880000001</v>
      </c>
      <c r="R175" s="35"/>
      <c r="S175" s="35">
        <v>4733096.88</v>
      </c>
      <c r="T175" s="35"/>
      <c r="U175" s="35">
        <f>Q175-S175</f>
        <v>6500000.0000000009</v>
      </c>
      <c r="V175" s="36"/>
      <c r="W175" s="37"/>
      <c r="X175" s="35" t="e">
        <f>VLOOKUP(C175,Banorte!F:K,6,FALSE)</f>
        <v>#N/A</v>
      </c>
      <c r="Y175" s="35"/>
      <c r="Z175" s="35" t="e">
        <f>X175-Y175</f>
        <v>#N/A</v>
      </c>
      <c r="AA175" s="38"/>
      <c r="AB175" s="34"/>
      <c r="AC175" s="43"/>
      <c r="AD175" s="44"/>
      <c r="AE175" s="33"/>
      <c r="AF175" s="39"/>
      <c r="AG175" s="40"/>
      <c r="AH175" s="114"/>
      <c r="AI175" s="109">
        <v>46244</v>
      </c>
      <c r="AJ175" s="116"/>
      <c r="AK175" s="41"/>
      <c r="AL175" s="33"/>
      <c r="AM175" s="33"/>
      <c r="AN175" s="42"/>
      <c r="AO175" s="108">
        <v>1112</v>
      </c>
      <c r="AP175" s="113">
        <v>46213</v>
      </c>
      <c r="AQ175" s="109">
        <v>46244</v>
      </c>
      <c r="AR175" s="110" t="s">
        <v>58</v>
      </c>
      <c r="AS175" s="110"/>
    </row>
    <row r="176" spans="1:45" x14ac:dyDescent="0.2">
      <c r="A176" s="60"/>
      <c r="B176" s="33">
        <v>148</v>
      </c>
      <c r="C176" s="34">
        <v>1113</v>
      </c>
      <c r="D176" s="34" t="s">
        <v>891</v>
      </c>
      <c r="E176" s="34"/>
      <c r="F176" s="34" t="s">
        <v>572</v>
      </c>
      <c r="G176" s="34" t="s">
        <v>66</v>
      </c>
      <c r="H176" s="34" t="s">
        <v>573</v>
      </c>
      <c r="I176" s="34"/>
      <c r="J176" s="34"/>
      <c r="K176" s="34"/>
      <c r="L176" s="34"/>
      <c r="M176" s="34" t="s">
        <v>58</v>
      </c>
      <c r="N176" s="34"/>
      <c r="O176" s="34" t="s">
        <v>11</v>
      </c>
      <c r="P176" s="35"/>
      <c r="Q176" s="35">
        <v>14289000</v>
      </c>
      <c r="R176" s="35"/>
      <c r="S176" s="35">
        <v>4286700</v>
      </c>
      <c r="T176" s="35"/>
      <c r="U176" s="35">
        <f>Q176-S176</f>
        <v>10002300</v>
      </c>
      <c r="V176" s="36"/>
      <c r="W176" s="37"/>
      <c r="X176" s="35" t="e">
        <f>VLOOKUP(C176,Banorte!F:K,6,FALSE)</f>
        <v>#N/A</v>
      </c>
      <c r="Y176" s="35"/>
      <c r="Z176" s="35" t="e">
        <f>X176-Y176</f>
        <v>#N/A</v>
      </c>
      <c r="AA176" s="37"/>
      <c r="AB176" s="34"/>
      <c r="AC176" s="43"/>
      <c r="AD176" s="44"/>
      <c r="AE176" s="34"/>
      <c r="AF176" s="39"/>
      <c r="AG176" s="40"/>
      <c r="AH176" s="114"/>
      <c r="AI176" s="109">
        <v>46244</v>
      </c>
      <c r="AJ176" s="116"/>
      <c r="AK176" s="41"/>
      <c r="AL176" s="33"/>
      <c r="AM176" s="33"/>
      <c r="AN176" s="42"/>
      <c r="AO176" s="108">
        <v>1113</v>
      </c>
      <c r="AP176" s="113">
        <v>46213</v>
      </c>
      <c r="AQ176" s="109">
        <v>46244</v>
      </c>
      <c r="AR176" s="110" t="s">
        <v>58</v>
      </c>
      <c r="AS176" s="110"/>
    </row>
    <row r="177" spans="1:45" x14ac:dyDescent="0.2">
      <c r="A177" s="60"/>
      <c r="B177" s="33">
        <v>149</v>
      </c>
      <c r="C177" s="34">
        <v>1114</v>
      </c>
      <c r="D177" s="34" t="s">
        <v>891</v>
      </c>
      <c r="E177" s="34"/>
      <c r="F177" s="34" t="s">
        <v>574</v>
      </c>
      <c r="G177" s="34" t="s">
        <v>575</v>
      </c>
      <c r="H177" s="34"/>
      <c r="I177" s="34"/>
      <c r="J177" s="34"/>
      <c r="K177" s="34"/>
      <c r="L177" s="34"/>
      <c r="M177" s="34" t="s">
        <v>58</v>
      </c>
      <c r="N177" s="34"/>
      <c r="O177" s="34" t="s">
        <v>11</v>
      </c>
      <c r="P177" s="35"/>
      <c r="Q177" s="35">
        <v>11881650</v>
      </c>
      <c r="R177" s="35"/>
      <c r="S177" s="35">
        <v>11802518.17</v>
      </c>
      <c r="T177" s="35"/>
      <c r="U177" s="35">
        <f>Q177-S177</f>
        <v>79131.830000000075</v>
      </c>
      <c r="V177" s="36"/>
      <c r="W177" s="37"/>
      <c r="X177" s="35" t="e">
        <f>VLOOKUP(C177,Banorte!F:K,6,FALSE)</f>
        <v>#N/A</v>
      </c>
      <c r="Y177" s="35"/>
      <c r="Z177" s="35" t="e">
        <f>X177-Y177</f>
        <v>#N/A</v>
      </c>
      <c r="AA177" s="37"/>
      <c r="AB177" s="34"/>
      <c r="AC177" s="43"/>
      <c r="AD177" s="44"/>
      <c r="AE177" s="34"/>
      <c r="AF177" s="39"/>
      <c r="AG177" s="40"/>
      <c r="AH177" s="114"/>
      <c r="AI177" s="109">
        <v>46244</v>
      </c>
      <c r="AJ177" s="116"/>
      <c r="AK177" s="41"/>
      <c r="AL177" s="33"/>
      <c r="AM177" s="33"/>
      <c r="AN177" s="42"/>
      <c r="AO177" s="112">
        <v>1114</v>
      </c>
      <c r="AP177" s="113">
        <v>46213</v>
      </c>
      <c r="AQ177" s="109">
        <v>46244</v>
      </c>
      <c r="AR177" s="110" t="s">
        <v>58</v>
      </c>
      <c r="AS177" s="110" t="s">
        <v>34</v>
      </c>
    </row>
    <row r="178" spans="1:45" x14ac:dyDescent="0.2">
      <c r="A178" s="60"/>
      <c r="B178" s="33">
        <v>150</v>
      </c>
      <c r="C178" s="34">
        <v>1115</v>
      </c>
      <c r="D178" s="34" t="s">
        <v>891</v>
      </c>
      <c r="E178" s="34"/>
      <c r="F178" s="34"/>
      <c r="G178" s="34"/>
      <c r="H178" s="34"/>
      <c r="I178" s="34"/>
      <c r="J178" s="34"/>
      <c r="K178" s="34"/>
      <c r="L178" s="34"/>
      <c r="M178" s="34" t="s">
        <v>58</v>
      </c>
      <c r="N178" s="34"/>
      <c r="O178" s="34" t="s">
        <v>12</v>
      </c>
      <c r="P178" s="35"/>
      <c r="Q178" s="35"/>
      <c r="R178" s="35"/>
      <c r="S178" s="35"/>
      <c r="T178" s="35"/>
      <c r="U178" s="35">
        <f>Q178-S178</f>
        <v>0</v>
      </c>
      <c r="V178" s="36"/>
      <c r="W178" s="37"/>
      <c r="X178" s="35" t="e">
        <f>VLOOKUP(C178,Banorte!F:K,6,FALSE)</f>
        <v>#N/A</v>
      </c>
      <c r="Y178" s="35"/>
      <c r="Z178" s="35" t="e">
        <f>X178-Y178</f>
        <v>#N/A</v>
      </c>
      <c r="AA178" s="38"/>
      <c r="AB178" s="34"/>
      <c r="AC178" s="43"/>
      <c r="AD178" s="44"/>
      <c r="AE178" s="33"/>
      <c r="AF178" s="39"/>
      <c r="AG178" s="40"/>
      <c r="AH178" s="114"/>
      <c r="AI178" s="109">
        <v>46244</v>
      </c>
      <c r="AJ178" s="116"/>
      <c r="AK178" s="41"/>
      <c r="AL178" s="33"/>
      <c r="AM178" s="33"/>
      <c r="AN178" s="42"/>
      <c r="AO178" s="111">
        <v>1115</v>
      </c>
      <c r="AP178" s="113">
        <v>46213</v>
      </c>
      <c r="AQ178" s="109">
        <v>46244</v>
      </c>
      <c r="AR178" s="110" t="s">
        <v>58</v>
      </c>
      <c r="AS178" s="110" t="s">
        <v>902</v>
      </c>
    </row>
    <row r="179" spans="1:45" x14ac:dyDescent="0.2">
      <c r="A179" s="60"/>
      <c r="B179" s="33">
        <v>151</v>
      </c>
      <c r="C179" s="34">
        <v>1116</v>
      </c>
      <c r="D179" s="34" t="s">
        <v>891</v>
      </c>
      <c r="E179" s="34"/>
      <c r="F179" s="34"/>
      <c r="G179" s="34"/>
      <c r="H179" s="34"/>
      <c r="I179" s="34"/>
      <c r="J179" s="34"/>
      <c r="K179" s="34"/>
      <c r="L179" s="34"/>
      <c r="M179" s="34" t="s">
        <v>58</v>
      </c>
      <c r="N179" s="34"/>
      <c r="O179" s="34" t="s">
        <v>12</v>
      </c>
      <c r="P179" s="35"/>
      <c r="Q179" s="35"/>
      <c r="R179" s="35"/>
      <c r="S179" s="35"/>
      <c r="T179" s="35"/>
      <c r="U179" s="35">
        <f>Q179-S179</f>
        <v>0</v>
      </c>
      <c r="V179" s="36"/>
      <c r="W179" s="37"/>
      <c r="X179" s="35" t="e">
        <f>VLOOKUP(C179,Banorte!F:K,6,FALSE)</f>
        <v>#N/A</v>
      </c>
      <c r="Y179" s="35"/>
      <c r="Z179" s="35" t="e">
        <f>X179-Y179</f>
        <v>#N/A</v>
      </c>
      <c r="AA179" s="37"/>
      <c r="AB179" s="34"/>
      <c r="AC179" s="43"/>
      <c r="AD179" s="44"/>
      <c r="AE179" s="34"/>
      <c r="AF179" s="39"/>
      <c r="AG179" s="40"/>
      <c r="AH179" s="114"/>
      <c r="AI179" s="109">
        <v>46244</v>
      </c>
      <c r="AJ179" s="116"/>
      <c r="AK179" s="41"/>
      <c r="AL179" s="33"/>
      <c r="AM179" s="33"/>
      <c r="AN179" s="42"/>
      <c r="AO179" s="111">
        <v>1116</v>
      </c>
      <c r="AP179" s="113">
        <v>46213</v>
      </c>
      <c r="AQ179" s="109">
        <v>46244</v>
      </c>
      <c r="AR179" s="110" t="s">
        <v>58</v>
      </c>
      <c r="AS179" s="110" t="s">
        <v>902</v>
      </c>
    </row>
    <row r="180" spans="1:45" x14ac:dyDescent="0.2">
      <c r="A180" s="60"/>
      <c r="B180" s="33">
        <v>152</v>
      </c>
      <c r="C180" s="34">
        <v>1117</v>
      </c>
      <c r="D180" s="34" t="s">
        <v>891</v>
      </c>
      <c r="E180" s="34"/>
      <c r="F180" s="34" t="s">
        <v>576</v>
      </c>
      <c r="G180" s="34" t="s">
        <v>577</v>
      </c>
      <c r="H180" s="34" t="s">
        <v>578</v>
      </c>
      <c r="I180" s="34"/>
      <c r="J180" s="34"/>
      <c r="K180" s="34"/>
      <c r="L180" s="34"/>
      <c r="M180" s="34" t="s">
        <v>58</v>
      </c>
      <c r="N180" s="34"/>
      <c r="O180" s="34" t="s">
        <v>11</v>
      </c>
      <c r="P180" s="35"/>
      <c r="Q180" s="35">
        <v>9690000</v>
      </c>
      <c r="R180" s="35"/>
      <c r="S180" s="35">
        <v>7186741.0999999996</v>
      </c>
      <c r="T180" s="35"/>
      <c r="U180" s="35">
        <f>Q180-S180</f>
        <v>2503258.9000000004</v>
      </c>
      <c r="V180" s="36"/>
      <c r="W180" s="37"/>
      <c r="X180" s="35" t="e">
        <f>VLOOKUP(C180,Banorte!F:K,6,FALSE)</f>
        <v>#N/A</v>
      </c>
      <c r="Y180" s="35"/>
      <c r="Z180" s="35" t="e">
        <f>X180-Y180</f>
        <v>#N/A</v>
      </c>
      <c r="AA180" s="37"/>
      <c r="AB180" s="34"/>
      <c r="AC180" s="43"/>
      <c r="AD180" s="44"/>
      <c r="AE180" s="34"/>
      <c r="AF180" s="39"/>
      <c r="AG180" s="40"/>
      <c r="AH180" s="114"/>
      <c r="AI180" s="109">
        <v>46244</v>
      </c>
      <c r="AJ180" s="116"/>
      <c r="AK180" s="41"/>
      <c r="AL180" s="33"/>
      <c r="AM180" s="33"/>
      <c r="AN180" s="42"/>
      <c r="AO180" s="108">
        <v>1117</v>
      </c>
      <c r="AP180" s="113">
        <v>46213</v>
      </c>
      <c r="AQ180" s="109">
        <v>46244</v>
      </c>
      <c r="AR180" s="110" t="s">
        <v>58</v>
      </c>
      <c r="AS180" s="110"/>
    </row>
    <row r="181" spans="1:45" x14ac:dyDescent="0.2">
      <c r="A181" s="60"/>
      <c r="B181" s="33">
        <v>112</v>
      </c>
      <c r="C181" s="33">
        <v>1201</v>
      </c>
      <c r="D181" s="33" t="s">
        <v>890</v>
      </c>
      <c r="E181" s="34"/>
      <c r="F181" s="34" t="s">
        <v>245</v>
      </c>
      <c r="G181" s="34" t="s">
        <v>246</v>
      </c>
      <c r="H181" s="34"/>
      <c r="I181" s="34"/>
      <c r="J181" s="34"/>
      <c r="K181" s="34"/>
      <c r="L181" s="34"/>
      <c r="M181" s="34" t="s">
        <v>445</v>
      </c>
      <c r="N181" s="34"/>
      <c r="O181" s="34" t="s">
        <v>11</v>
      </c>
      <c r="P181" s="35">
        <v>570000</v>
      </c>
      <c r="Q181" s="35">
        <f>P181*$U$3</f>
        <v>10545000</v>
      </c>
      <c r="R181" s="35">
        <v>180580</v>
      </c>
      <c r="S181" s="35"/>
      <c r="T181" s="35">
        <f>P181-R181</f>
        <v>389420</v>
      </c>
      <c r="U181" s="35">
        <f>T181*U$3</f>
        <v>7204270</v>
      </c>
      <c r="V181" s="36"/>
      <c r="W181" s="37" t="s">
        <v>55</v>
      </c>
      <c r="X181" s="35" t="e">
        <f>VLOOKUP(C181,Banorte!F:K,6,FALSE)</f>
        <v>#N/A</v>
      </c>
      <c r="Y181" s="35"/>
      <c r="Z181" s="35" t="e">
        <f>X181-Y181</f>
        <v>#N/A</v>
      </c>
      <c r="AA181" s="37"/>
      <c r="AB181" s="34"/>
      <c r="AC181" s="43"/>
      <c r="AD181" s="44"/>
      <c r="AE181" s="34"/>
      <c r="AF181" s="39"/>
      <c r="AG181" s="40"/>
      <c r="AH181" s="114"/>
      <c r="AI181" s="109">
        <v>46170</v>
      </c>
      <c r="AJ181" s="116"/>
      <c r="AK181" s="41"/>
      <c r="AL181" s="33"/>
      <c r="AM181" s="33"/>
      <c r="AN181" s="42"/>
      <c r="AO181" s="108">
        <v>1201</v>
      </c>
      <c r="AP181" s="113">
        <v>46136</v>
      </c>
      <c r="AQ181" s="109">
        <v>46170</v>
      </c>
      <c r="AR181" s="110" t="s">
        <v>445</v>
      </c>
      <c r="AS181" s="110"/>
    </row>
    <row r="182" spans="1:45" x14ac:dyDescent="0.2">
      <c r="A182" s="60"/>
      <c r="B182" s="33">
        <v>154</v>
      </c>
      <c r="C182" s="34">
        <v>1202</v>
      </c>
      <c r="D182" s="34" t="s">
        <v>891</v>
      </c>
      <c r="E182" s="34"/>
      <c r="F182" s="34"/>
      <c r="G182" s="34"/>
      <c r="H182" s="34"/>
      <c r="I182" s="34"/>
      <c r="J182" s="34"/>
      <c r="K182" s="34"/>
      <c r="L182" s="34"/>
      <c r="M182" s="34" t="s">
        <v>58</v>
      </c>
      <c r="N182" s="34"/>
      <c r="O182" s="34" t="s">
        <v>12</v>
      </c>
      <c r="P182" s="35"/>
      <c r="Q182" s="35"/>
      <c r="R182" s="35"/>
      <c r="S182" s="35"/>
      <c r="T182" s="35"/>
      <c r="U182" s="35">
        <f>Q182-S182</f>
        <v>0</v>
      </c>
      <c r="V182" s="36"/>
      <c r="W182" s="37"/>
      <c r="X182" s="35" t="e">
        <f>VLOOKUP(C182,Banorte!F:K,6,FALSE)</f>
        <v>#N/A</v>
      </c>
      <c r="Y182" s="35"/>
      <c r="Z182" s="35" t="e">
        <f>X182-Y182</f>
        <v>#N/A</v>
      </c>
      <c r="AA182" s="37"/>
      <c r="AB182" s="34"/>
      <c r="AC182" s="43"/>
      <c r="AD182" s="44"/>
      <c r="AE182" s="34"/>
      <c r="AF182" s="39"/>
      <c r="AG182" s="40"/>
      <c r="AH182" s="114"/>
      <c r="AI182" s="109">
        <v>46170</v>
      </c>
      <c r="AJ182" s="116"/>
      <c r="AK182" s="41"/>
      <c r="AL182" s="33"/>
      <c r="AM182" s="33"/>
      <c r="AN182" s="42"/>
      <c r="AO182" s="111">
        <v>1202</v>
      </c>
      <c r="AP182" s="113">
        <v>46136</v>
      </c>
      <c r="AQ182" s="109">
        <v>46170</v>
      </c>
      <c r="AR182" s="110" t="s">
        <v>58</v>
      </c>
      <c r="AS182" s="110" t="s">
        <v>902</v>
      </c>
    </row>
    <row r="183" spans="1:45" x14ac:dyDescent="0.2">
      <c r="A183" s="60"/>
      <c r="B183" s="33">
        <v>155</v>
      </c>
      <c r="C183" s="34">
        <v>1203</v>
      </c>
      <c r="D183" s="34" t="s">
        <v>891</v>
      </c>
      <c r="E183" s="34"/>
      <c r="F183" s="34" t="s">
        <v>582</v>
      </c>
      <c r="G183" s="34" t="s">
        <v>583</v>
      </c>
      <c r="H183" s="34"/>
      <c r="I183" s="34"/>
      <c r="J183" s="34"/>
      <c r="K183" s="34"/>
      <c r="L183" s="34"/>
      <c r="M183" s="34" t="s">
        <v>58</v>
      </c>
      <c r="N183" s="34"/>
      <c r="O183" s="34" t="s">
        <v>11</v>
      </c>
      <c r="P183" s="35"/>
      <c r="Q183" s="35">
        <v>11976000</v>
      </c>
      <c r="R183" s="35"/>
      <c r="S183" s="35">
        <v>3626275.09</v>
      </c>
      <c r="T183" s="35"/>
      <c r="U183" s="35">
        <f>Q183-S183</f>
        <v>8349724.9100000001</v>
      </c>
      <c r="V183" s="36"/>
      <c r="W183" s="37"/>
      <c r="X183" s="35" t="e">
        <f>VLOOKUP(C183,Banorte!F:K,6,FALSE)</f>
        <v>#N/A</v>
      </c>
      <c r="Y183" s="35"/>
      <c r="Z183" s="35" t="e">
        <f>X183-Y183</f>
        <v>#N/A</v>
      </c>
      <c r="AA183" s="38"/>
      <c r="AB183" s="34"/>
      <c r="AC183" s="43"/>
      <c r="AD183" s="44"/>
      <c r="AE183" s="33"/>
      <c r="AF183" s="39"/>
      <c r="AG183" s="40"/>
      <c r="AH183" s="114"/>
      <c r="AI183" s="109">
        <v>46170</v>
      </c>
      <c r="AJ183" s="116"/>
      <c r="AK183" s="41"/>
      <c r="AL183" s="33"/>
      <c r="AM183" s="33"/>
      <c r="AN183" s="42"/>
      <c r="AO183" s="108">
        <v>1203</v>
      </c>
      <c r="AP183" s="113">
        <v>46136</v>
      </c>
      <c r="AQ183" s="109">
        <v>46170</v>
      </c>
      <c r="AR183" s="110" t="s">
        <v>58</v>
      </c>
      <c r="AS183" s="110"/>
    </row>
    <row r="184" spans="1:45" x14ac:dyDescent="0.2">
      <c r="A184" s="60"/>
      <c r="B184" s="33">
        <v>113</v>
      </c>
      <c r="C184" s="33">
        <v>1204</v>
      </c>
      <c r="D184" s="33" t="s">
        <v>890</v>
      </c>
      <c r="E184" s="34"/>
      <c r="F184" s="34" t="s">
        <v>245</v>
      </c>
      <c r="G184" s="34" t="s">
        <v>246</v>
      </c>
      <c r="H184" s="34"/>
      <c r="I184" s="34"/>
      <c r="J184" s="34"/>
      <c r="K184" s="34"/>
      <c r="L184" s="34"/>
      <c r="M184" s="34" t="s">
        <v>53</v>
      </c>
      <c r="N184" s="34"/>
      <c r="O184" s="34" t="s">
        <v>11</v>
      </c>
      <c r="P184" s="35">
        <v>675000</v>
      </c>
      <c r="Q184" s="35">
        <f>P184*$U$3</f>
        <v>12487500</v>
      </c>
      <c r="R184" s="35">
        <v>200720</v>
      </c>
      <c r="S184" s="35"/>
      <c r="T184" s="35">
        <f>P184-R184</f>
        <v>474280</v>
      </c>
      <c r="U184" s="35">
        <f>T184*U$3</f>
        <v>8774180</v>
      </c>
      <c r="V184" s="36"/>
      <c r="W184" s="37"/>
      <c r="X184" s="35" t="e">
        <f>VLOOKUP(C184,Banorte!F:K,6,FALSE)</f>
        <v>#N/A</v>
      </c>
      <c r="Y184" s="35"/>
      <c r="Z184" s="35" t="e">
        <f>X184-Y184</f>
        <v>#N/A</v>
      </c>
      <c r="AA184" s="37"/>
      <c r="AB184" s="34"/>
      <c r="AC184" s="43"/>
      <c r="AD184" s="44"/>
      <c r="AE184" s="34"/>
      <c r="AF184" s="39"/>
      <c r="AG184" s="40"/>
      <c r="AH184" s="114"/>
      <c r="AI184" s="109">
        <v>46170</v>
      </c>
      <c r="AJ184" s="116"/>
      <c r="AK184" s="41"/>
      <c r="AL184" s="33"/>
      <c r="AM184" s="33"/>
      <c r="AN184" s="42"/>
      <c r="AO184" s="108">
        <v>1204</v>
      </c>
      <c r="AP184" s="113">
        <v>46136</v>
      </c>
      <c r="AQ184" s="109">
        <v>46170</v>
      </c>
      <c r="AR184" s="110" t="s">
        <v>53</v>
      </c>
      <c r="AS184" s="110"/>
    </row>
    <row r="185" spans="1:45" x14ac:dyDescent="0.2">
      <c r="A185" s="60"/>
      <c r="B185" s="33">
        <v>114</v>
      </c>
      <c r="C185" s="33">
        <v>1205</v>
      </c>
      <c r="D185" s="33" t="s">
        <v>890</v>
      </c>
      <c r="E185" s="34"/>
      <c r="F185" s="34" t="s">
        <v>384</v>
      </c>
      <c r="G185" s="34" t="s">
        <v>385</v>
      </c>
      <c r="H185" s="34"/>
      <c r="I185" s="34"/>
      <c r="J185" s="34"/>
      <c r="K185" s="34"/>
      <c r="L185" s="34"/>
      <c r="M185" s="34" t="s">
        <v>445</v>
      </c>
      <c r="N185" s="34"/>
      <c r="O185" s="34" t="s">
        <v>11</v>
      </c>
      <c r="P185" s="35">
        <v>675000</v>
      </c>
      <c r="Q185" s="35">
        <f>P185*$U$3</f>
        <v>12487500</v>
      </c>
      <c r="R185" s="35">
        <v>202917.36</v>
      </c>
      <c r="S185" s="35"/>
      <c r="T185" s="35">
        <f>P185-R185</f>
        <v>472082.64</v>
      </c>
      <c r="U185" s="35">
        <f>T185*U$3</f>
        <v>8733528.8399999999</v>
      </c>
      <c r="V185" s="36"/>
      <c r="W185" s="37" t="s">
        <v>55</v>
      </c>
      <c r="X185" s="35" t="e">
        <f>VLOOKUP(C185,Banorte!F:K,6,FALSE)</f>
        <v>#N/A</v>
      </c>
      <c r="Y185" s="35"/>
      <c r="Z185" s="35" t="e">
        <f>X185-Y185</f>
        <v>#N/A</v>
      </c>
      <c r="AA185" s="38"/>
      <c r="AB185" s="34"/>
      <c r="AC185" s="43"/>
      <c r="AD185" s="44"/>
      <c r="AE185" s="33"/>
      <c r="AF185" s="39"/>
      <c r="AG185" s="40"/>
      <c r="AH185" s="114"/>
      <c r="AI185" s="109">
        <v>46170</v>
      </c>
      <c r="AJ185" s="116"/>
      <c r="AK185" s="41"/>
      <c r="AL185" s="33"/>
      <c r="AM185" s="33"/>
      <c r="AN185" s="42"/>
      <c r="AO185" s="108">
        <v>1205</v>
      </c>
      <c r="AP185" s="113">
        <v>46136</v>
      </c>
      <c r="AQ185" s="109">
        <v>46170</v>
      </c>
      <c r="AR185" s="110" t="s">
        <v>445</v>
      </c>
      <c r="AS185" s="110"/>
    </row>
    <row r="186" spans="1:45" x14ac:dyDescent="0.2">
      <c r="A186" s="60"/>
      <c r="B186" s="33">
        <v>115</v>
      </c>
      <c r="C186" s="33">
        <v>1206</v>
      </c>
      <c r="D186" s="33" t="s">
        <v>890</v>
      </c>
      <c r="E186" s="34"/>
      <c r="F186" s="34" t="s">
        <v>63</v>
      </c>
      <c r="G186" s="34" t="s">
        <v>64</v>
      </c>
      <c r="H186" s="34"/>
      <c r="I186" s="34"/>
      <c r="J186" s="34"/>
      <c r="K186" s="34"/>
      <c r="L186" s="34"/>
      <c r="M186" s="34" t="s">
        <v>445</v>
      </c>
      <c r="N186" s="34"/>
      <c r="O186" s="34" t="s">
        <v>11</v>
      </c>
      <c r="P186" s="35">
        <v>570000</v>
      </c>
      <c r="Q186" s="35">
        <f>P186*$U$3</f>
        <v>10545000</v>
      </c>
      <c r="R186" s="35">
        <v>179720</v>
      </c>
      <c r="S186" s="35"/>
      <c r="T186" s="35">
        <f>P186-R186</f>
        <v>390280</v>
      </c>
      <c r="U186" s="35">
        <f>T186*U$3</f>
        <v>7220180</v>
      </c>
      <c r="V186" s="36"/>
      <c r="W186" s="37" t="s">
        <v>55</v>
      </c>
      <c r="X186" s="35" t="e">
        <f>VLOOKUP(C186,Banorte!F:K,6,FALSE)</f>
        <v>#N/A</v>
      </c>
      <c r="Y186" s="35"/>
      <c r="Z186" s="35" t="e">
        <f>X186-Y186</f>
        <v>#N/A</v>
      </c>
      <c r="AA186" s="37"/>
      <c r="AB186" s="34"/>
      <c r="AC186" s="43"/>
      <c r="AD186" s="44"/>
      <c r="AE186" s="34"/>
      <c r="AF186" s="39"/>
      <c r="AG186" s="40"/>
      <c r="AH186" s="114"/>
      <c r="AI186" s="109">
        <v>46170</v>
      </c>
      <c r="AJ186" s="116"/>
      <c r="AK186" s="41"/>
      <c r="AL186" s="33"/>
      <c r="AM186" s="33"/>
      <c r="AN186" s="42"/>
      <c r="AO186" s="108">
        <v>1206</v>
      </c>
      <c r="AP186" s="113">
        <v>46136</v>
      </c>
      <c r="AQ186" s="109">
        <v>46170</v>
      </c>
      <c r="AR186" s="110" t="s">
        <v>445</v>
      </c>
      <c r="AS186" s="110"/>
    </row>
    <row r="187" spans="1:45" x14ac:dyDescent="0.2">
      <c r="A187" s="60"/>
      <c r="B187" s="33">
        <v>116</v>
      </c>
      <c r="C187" s="33">
        <v>1207</v>
      </c>
      <c r="D187" s="33" t="s">
        <v>890</v>
      </c>
      <c r="E187" s="34"/>
      <c r="F187" s="34" t="s">
        <v>431</v>
      </c>
      <c r="G187" s="34" t="s">
        <v>432</v>
      </c>
      <c r="H187" s="34"/>
      <c r="I187" s="34"/>
      <c r="J187" s="34"/>
      <c r="K187" s="34"/>
      <c r="L187" s="34"/>
      <c r="M187" s="34" t="s">
        <v>445</v>
      </c>
      <c r="N187" s="34"/>
      <c r="O187" s="34" t="s">
        <v>11</v>
      </c>
      <c r="P187" s="35">
        <v>329100</v>
      </c>
      <c r="Q187" s="35">
        <f>P187*$U$3</f>
        <v>6088350</v>
      </c>
      <c r="R187" s="35">
        <v>164559</v>
      </c>
      <c r="S187" s="35"/>
      <c r="T187" s="35">
        <f>P187-R187</f>
        <v>164541</v>
      </c>
      <c r="U187" s="35">
        <f>T187*U$3</f>
        <v>3044008.5</v>
      </c>
      <c r="V187" s="36"/>
      <c r="W187" s="37" t="s">
        <v>55</v>
      </c>
      <c r="X187" s="35" t="e">
        <f>VLOOKUP(C187,Banorte!F:K,6,FALSE)</f>
        <v>#N/A</v>
      </c>
      <c r="Y187" s="35"/>
      <c r="Z187" s="35" t="e">
        <f>X187-Y187</f>
        <v>#N/A</v>
      </c>
      <c r="AA187" s="37"/>
      <c r="AB187" s="34"/>
      <c r="AC187" s="43"/>
      <c r="AD187" s="44"/>
      <c r="AE187" s="34"/>
      <c r="AF187" s="39"/>
      <c r="AG187" s="40"/>
      <c r="AH187" s="114"/>
      <c r="AI187" s="109">
        <v>46170</v>
      </c>
      <c r="AJ187" s="116"/>
      <c r="AK187" s="41"/>
      <c r="AL187" s="33"/>
      <c r="AM187" s="33"/>
      <c r="AN187" s="42"/>
      <c r="AO187" s="108">
        <v>1207</v>
      </c>
      <c r="AP187" s="113">
        <v>46136</v>
      </c>
      <c r="AQ187" s="109">
        <v>46170</v>
      </c>
      <c r="AR187" s="110" t="s">
        <v>445</v>
      </c>
      <c r="AS187" s="110"/>
    </row>
    <row r="188" spans="1:45" x14ac:dyDescent="0.2">
      <c r="A188" s="60"/>
      <c r="B188" s="33">
        <v>117</v>
      </c>
      <c r="C188" s="33">
        <v>1208</v>
      </c>
      <c r="D188" s="33" t="s">
        <v>890</v>
      </c>
      <c r="E188" s="34"/>
      <c r="F188" s="34" t="s">
        <v>433</v>
      </c>
      <c r="G188" s="34" t="s">
        <v>434</v>
      </c>
      <c r="H188" s="34"/>
      <c r="I188" s="34"/>
      <c r="J188" s="34"/>
      <c r="K188" s="34"/>
      <c r="L188" s="34"/>
      <c r="M188" s="34" t="s">
        <v>53</v>
      </c>
      <c r="N188" s="34"/>
      <c r="O188" s="34" t="s">
        <v>11</v>
      </c>
      <c r="P188" s="35">
        <v>329100</v>
      </c>
      <c r="Q188" s="35">
        <f>P188*$U$3</f>
        <v>6088350</v>
      </c>
      <c r="R188" s="35">
        <v>124040</v>
      </c>
      <c r="S188" s="35"/>
      <c r="T188" s="35">
        <f>P188-R188</f>
        <v>205060</v>
      </c>
      <c r="U188" s="35">
        <f>T188*U$3</f>
        <v>3793610</v>
      </c>
      <c r="V188" s="36"/>
      <c r="W188" s="37"/>
      <c r="X188" s="35" t="e">
        <f>VLOOKUP(C188,Banorte!F:K,6,FALSE)</f>
        <v>#N/A</v>
      </c>
      <c r="Y188" s="35"/>
      <c r="Z188" s="35" t="e">
        <f>X188-Y188</f>
        <v>#N/A</v>
      </c>
      <c r="AA188" s="38"/>
      <c r="AB188" s="34"/>
      <c r="AC188" s="43"/>
      <c r="AD188" s="44"/>
      <c r="AE188" s="33"/>
      <c r="AF188" s="39"/>
      <c r="AG188" s="40"/>
      <c r="AH188" s="114"/>
      <c r="AI188" s="109">
        <v>46170</v>
      </c>
      <c r="AJ188" s="116"/>
      <c r="AK188" s="41"/>
      <c r="AL188" s="33"/>
      <c r="AM188" s="33"/>
      <c r="AN188" s="42"/>
      <c r="AO188" s="108">
        <v>1208</v>
      </c>
      <c r="AP188" s="113">
        <v>46136</v>
      </c>
      <c r="AQ188" s="109">
        <v>46170</v>
      </c>
      <c r="AR188" s="110" t="s">
        <v>53</v>
      </c>
      <c r="AS188" s="110"/>
    </row>
    <row r="189" spans="1:45" x14ac:dyDescent="0.2">
      <c r="A189" s="60"/>
      <c r="B189" s="33">
        <v>118</v>
      </c>
      <c r="C189" s="33">
        <v>1209</v>
      </c>
      <c r="D189" s="33" t="s">
        <v>890</v>
      </c>
      <c r="E189" s="34"/>
      <c r="F189" s="34" t="s">
        <v>435</v>
      </c>
      <c r="G189" s="34" t="s">
        <v>436</v>
      </c>
      <c r="H189" s="34"/>
      <c r="I189" s="34"/>
      <c r="J189" s="34"/>
      <c r="K189" s="34"/>
      <c r="L189" s="34"/>
      <c r="M189" s="34" t="s">
        <v>445</v>
      </c>
      <c r="N189" s="34"/>
      <c r="O189" s="34" t="s">
        <v>11</v>
      </c>
      <c r="P189" s="35">
        <v>329100</v>
      </c>
      <c r="Q189" s="35">
        <f>P189*$U$3</f>
        <v>6088350</v>
      </c>
      <c r="R189" s="35">
        <v>124040</v>
      </c>
      <c r="S189" s="35"/>
      <c r="T189" s="35">
        <f>P189-R189</f>
        <v>205060</v>
      </c>
      <c r="U189" s="35">
        <f>T189*U$3</f>
        <v>3793610</v>
      </c>
      <c r="V189" s="36"/>
      <c r="W189" s="37" t="s">
        <v>55</v>
      </c>
      <c r="X189" s="35" t="e">
        <f>VLOOKUP(C189,Banorte!F:K,6,FALSE)</f>
        <v>#N/A</v>
      </c>
      <c r="Y189" s="35"/>
      <c r="Z189" s="35" t="e">
        <f>X189-Y189</f>
        <v>#N/A</v>
      </c>
      <c r="AA189" s="37"/>
      <c r="AB189" s="34"/>
      <c r="AC189" s="43"/>
      <c r="AD189" s="44"/>
      <c r="AE189" s="34"/>
      <c r="AF189" s="39"/>
      <c r="AG189" s="40"/>
      <c r="AH189" s="114"/>
      <c r="AI189" s="109">
        <v>46170</v>
      </c>
      <c r="AJ189" s="116"/>
      <c r="AK189" s="41"/>
      <c r="AL189" s="33"/>
      <c r="AM189" s="33"/>
      <c r="AN189" s="42"/>
      <c r="AO189" s="108">
        <v>1209</v>
      </c>
      <c r="AP189" s="113">
        <v>46136</v>
      </c>
      <c r="AQ189" s="109">
        <v>46170</v>
      </c>
      <c r="AR189" s="110" t="s">
        <v>445</v>
      </c>
      <c r="AS189" s="110"/>
    </row>
    <row r="190" spans="1:45" x14ac:dyDescent="0.2">
      <c r="A190" s="60"/>
      <c r="B190" s="33">
        <v>119</v>
      </c>
      <c r="C190" s="33">
        <v>1210</v>
      </c>
      <c r="D190" s="33" t="s">
        <v>890</v>
      </c>
      <c r="E190" s="34"/>
      <c r="F190" s="34" t="s">
        <v>437</v>
      </c>
      <c r="G190" s="34" t="s">
        <v>438</v>
      </c>
      <c r="H190" s="34"/>
      <c r="I190" s="34"/>
      <c r="J190" s="34"/>
      <c r="K190" s="34"/>
      <c r="L190" s="34"/>
      <c r="M190" s="34" t="s">
        <v>445</v>
      </c>
      <c r="N190" s="34"/>
      <c r="O190" s="34" t="s">
        <v>11</v>
      </c>
      <c r="P190" s="35">
        <v>329100</v>
      </c>
      <c r="Q190" s="35">
        <f>P190*$U$3</f>
        <v>6088350</v>
      </c>
      <c r="R190" s="35">
        <v>124165</v>
      </c>
      <c r="S190" s="35"/>
      <c r="T190" s="35">
        <f>P190-R190</f>
        <v>204935</v>
      </c>
      <c r="U190" s="35">
        <f>T190*U$3</f>
        <v>3791297.5</v>
      </c>
      <c r="V190" s="36"/>
      <c r="W190" s="37" t="s">
        <v>55</v>
      </c>
      <c r="X190" s="35" t="e">
        <f>VLOOKUP(C190,Banorte!F:K,6,FALSE)</f>
        <v>#N/A</v>
      </c>
      <c r="Y190" s="35"/>
      <c r="Z190" s="35" t="e">
        <f>X190-Y190</f>
        <v>#N/A</v>
      </c>
      <c r="AA190" s="37"/>
      <c r="AB190" s="34"/>
      <c r="AC190" s="43"/>
      <c r="AD190" s="44"/>
      <c r="AE190" s="34"/>
      <c r="AF190" s="39"/>
      <c r="AG190" s="40"/>
      <c r="AH190" s="114"/>
      <c r="AI190" s="109">
        <v>46170</v>
      </c>
      <c r="AJ190" s="116"/>
      <c r="AK190" s="41"/>
      <c r="AL190" s="33"/>
      <c r="AM190" s="33"/>
      <c r="AN190" s="42"/>
      <c r="AO190" s="108">
        <v>1210</v>
      </c>
      <c r="AP190" s="113">
        <v>46136</v>
      </c>
      <c r="AQ190" s="109">
        <v>46170</v>
      </c>
      <c r="AR190" s="110" t="s">
        <v>445</v>
      </c>
      <c r="AS190" s="110"/>
    </row>
    <row r="191" spans="1:45" x14ac:dyDescent="0.2">
      <c r="A191" s="60"/>
      <c r="B191" s="33">
        <v>156</v>
      </c>
      <c r="C191" s="34">
        <v>1211</v>
      </c>
      <c r="D191" s="34" t="s">
        <v>891</v>
      </c>
      <c r="E191" s="34"/>
      <c r="F191" s="34" t="s">
        <v>584</v>
      </c>
      <c r="G191" s="34" t="s">
        <v>585</v>
      </c>
      <c r="H191" s="34" t="s">
        <v>586</v>
      </c>
      <c r="I191" s="34"/>
      <c r="J191" s="34"/>
      <c r="K191" s="34"/>
      <c r="L191" s="34"/>
      <c r="M191" s="34" t="s">
        <v>58</v>
      </c>
      <c r="N191" s="34"/>
      <c r="O191" s="34" t="s">
        <v>11</v>
      </c>
      <c r="P191" s="35"/>
      <c r="Q191" s="35">
        <v>8599500</v>
      </c>
      <c r="R191" s="35"/>
      <c r="S191" s="35">
        <v>3110000.02</v>
      </c>
      <c r="T191" s="35"/>
      <c r="U191" s="35">
        <f>Q191-S191</f>
        <v>5489499.9800000004</v>
      </c>
      <c r="V191" s="36"/>
      <c r="W191" s="37"/>
      <c r="X191" s="35" t="e">
        <f>VLOOKUP(C191,Banorte!F:K,6,FALSE)</f>
        <v>#N/A</v>
      </c>
      <c r="Y191" s="35"/>
      <c r="Z191" s="35" t="e">
        <f>X191-Y191</f>
        <v>#N/A</v>
      </c>
      <c r="AA191" s="37"/>
      <c r="AB191" s="34"/>
      <c r="AC191" s="43"/>
      <c r="AD191" s="44"/>
      <c r="AE191" s="34"/>
      <c r="AF191" s="39"/>
      <c r="AG191" s="40"/>
      <c r="AH191" s="114"/>
      <c r="AI191" s="109">
        <v>46170</v>
      </c>
      <c r="AJ191" s="116"/>
      <c r="AK191" s="41"/>
      <c r="AL191" s="33"/>
      <c r="AM191" s="33"/>
      <c r="AN191" s="42"/>
      <c r="AO191" s="108">
        <v>1211</v>
      </c>
      <c r="AP191" s="113">
        <v>46136</v>
      </c>
      <c r="AQ191" s="109">
        <v>46170</v>
      </c>
      <c r="AR191" s="110" t="s">
        <v>58</v>
      </c>
      <c r="AS191" s="110"/>
    </row>
    <row r="192" spans="1:45" x14ac:dyDescent="0.2">
      <c r="A192" s="60"/>
      <c r="B192" s="33">
        <v>120</v>
      </c>
      <c r="C192" s="33">
        <v>1212</v>
      </c>
      <c r="D192" s="33" t="s">
        <v>890</v>
      </c>
      <c r="E192" s="34"/>
      <c r="F192" s="34" t="s">
        <v>439</v>
      </c>
      <c r="G192" s="34" t="s">
        <v>59</v>
      </c>
      <c r="H192" s="34"/>
      <c r="I192" s="34"/>
      <c r="J192" s="34"/>
      <c r="K192" s="34"/>
      <c r="L192" s="34"/>
      <c r="M192" s="34" t="s">
        <v>445</v>
      </c>
      <c r="N192" s="34"/>
      <c r="O192" s="34" t="s">
        <v>11</v>
      </c>
      <c r="P192" s="35">
        <v>570000</v>
      </c>
      <c r="Q192" s="35">
        <f>P192*$U$3</f>
        <v>10545000</v>
      </c>
      <c r="R192" s="35">
        <v>194340</v>
      </c>
      <c r="S192" s="35"/>
      <c r="T192" s="35">
        <f>P192-R192</f>
        <v>375660</v>
      </c>
      <c r="U192" s="35">
        <f>T192*U$3</f>
        <v>6949710</v>
      </c>
      <c r="V192" s="36"/>
      <c r="W192" s="37" t="s">
        <v>55</v>
      </c>
      <c r="X192" s="35" t="e">
        <f>VLOOKUP(C192,Banorte!F:K,6,FALSE)</f>
        <v>#N/A</v>
      </c>
      <c r="Y192" s="35"/>
      <c r="Z192" s="35" t="e">
        <f>X192-Y192</f>
        <v>#N/A</v>
      </c>
      <c r="AA192" s="38"/>
      <c r="AB192" s="34"/>
      <c r="AC192" s="43"/>
      <c r="AD192" s="44"/>
      <c r="AE192" s="33"/>
      <c r="AF192" s="39"/>
      <c r="AG192" s="40"/>
      <c r="AH192" s="114"/>
      <c r="AI192" s="109">
        <v>46170</v>
      </c>
      <c r="AJ192" s="116"/>
      <c r="AK192" s="41"/>
      <c r="AL192" s="33"/>
      <c r="AM192" s="33"/>
      <c r="AN192" s="42"/>
      <c r="AO192" s="108">
        <v>1212</v>
      </c>
      <c r="AP192" s="113">
        <v>46136</v>
      </c>
      <c r="AQ192" s="109">
        <v>46170</v>
      </c>
      <c r="AR192" s="110" t="s">
        <v>445</v>
      </c>
      <c r="AS192" s="110"/>
    </row>
    <row r="193" spans="1:45" x14ac:dyDescent="0.2">
      <c r="A193" s="60"/>
      <c r="B193" s="33">
        <v>121</v>
      </c>
      <c r="C193" s="33">
        <v>1213</v>
      </c>
      <c r="D193" s="33" t="s">
        <v>890</v>
      </c>
      <c r="E193" s="34"/>
      <c r="F193" s="34" t="s">
        <v>440</v>
      </c>
      <c r="G193" s="34" t="s">
        <v>441</v>
      </c>
      <c r="H193" s="34"/>
      <c r="I193" s="34"/>
      <c r="J193" s="34"/>
      <c r="K193" s="34"/>
      <c r="L193" s="34"/>
      <c r="M193" s="34" t="s">
        <v>445</v>
      </c>
      <c r="N193" s="34"/>
      <c r="O193" s="34" t="s">
        <v>11</v>
      </c>
      <c r="P193" s="35">
        <v>675000</v>
      </c>
      <c r="Q193" s="35">
        <f>P193*$U$3</f>
        <v>12487500</v>
      </c>
      <c r="R193" s="35">
        <v>200720</v>
      </c>
      <c r="S193" s="35"/>
      <c r="T193" s="35">
        <f>P193-R193</f>
        <v>474280</v>
      </c>
      <c r="U193" s="35">
        <f>T193*U$3</f>
        <v>8774180</v>
      </c>
      <c r="V193" s="36"/>
      <c r="W193" s="37" t="s">
        <v>55</v>
      </c>
      <c r="X193" s="35" t="e">
        <f>VLOOKUP(C193,Banorte!F:K,6,FALSE)</f>
        <v>#N/A</v>
      </c>
      <c r="Y193" s="35"/>
      <c r="Z193" s="35" t="e">
        <f>X193-Y193</f>
        <v>#N/A</v>
      </c>
      <c r="AA193" s="37"/>
      <c r="AB193" s="34"/>
      <c r="AC193" s="43"/>
      <c r="AD193" s="44"/>
      <c r="AE193" s="34"/>
      <c r="AF193" s="39"/>
      <c r="AG193" s="40"/>
      <c r="AH193" s="114"/>
      <c r="AI193" s="109">
        <v>46170</v>
      </c>
      <c r="AJ193" s="116"/>
      <c r="AK193" s="41"/>
      <c r="AL193" s="33"/>
      <c r="AM193" s="33"/>
      <c r="AN193" s="42"/>
      <c r="AO193" s="108">
        <v>1213</v>
      </c>
      <c r="AP193" s="113">
        <v>46136</v>
      </c>
      <c r="AQ193" s="109">
        <v>46170</v>
      </c>
      <c r="AR193" s="110" t="s">
        <v>445</v>
      </c>
      <c r="AS193" s="110"/>
    </row>
    <row r="194" spans="1:45" x14ac:dyDescent="0.2">
      <c r="A194" s="60"/>
      <c r="B194" s="33">
        <v>157</v>
      </c>
      <c r="C194" s="34">
        <v>1214</v>
      </c>
      <c r="D194" s="34" t="s">
        <v>891</v>
      </c>
      <c r="E194" s="34"/>
      <c r="F194" s="34" t="s">
        <v>587</v>
      </c>
      <c r="G194" s="34" t="s">
        <v>588</v>
      </c>
      <c r="H194" s="34" t="s">
        <v>589</v>
      </c>
      <c r="I194" s="34"/>
      <c r="J194" s="34"/>
      <c r="K194" s="34"/>
      <c r="L194" s="34"/>
      <c r="M194" s="34" t="s">
        <v>58</v>
      </c>
      <c r="N194" s="34"/>
      <c r="O194" s="34" t="s">
        <v>11</v>
      </c>
      <c r="P194" s="35"/>
      <c r="Q194" s="35">
        <v>13000000</v>
      </c>
      <c r="R194" s="35"/>
      <c r="S194" s="35">
        <v>5850000</v>
      </c>
      <c r="T194" s="35"/>
      <c r="U194" s="35">
        <f>Q194-S194</f>
        <v>7150000</v>
      </c>
      <c r="V194" s="36"/>
      <c r="W194" s="37"/>
      <c r="X194" s="35" t="e">
        <f>VLOOKUP(C194,Banorte!F:K,6,FALSE)</f>
        <v>#N/A</v>
      </c>
      <c r="Y194" s="35"/>
      <c r="Z194" s="35" t="e">
        <f>X194-Y194</f>
        <v>#N/A</v>
      </c>
      <c r="AA194" s="37"/>
      <c r="AB194" s="34"/>
      <c r="AC194" s="43"/>
      <c r="AD194" s="44"/>
      <c r="AE194" s="34"/>
      <c r="AF194" s="39"/>
      <c r="AG194" s="40"/>
      <c r="AH194" s="114"/>
      <c r="AI194" s="109">
        <v>46170</v>
      </c>
      <c r="AJ194" s="116"/>
      <c r="AK194" s="41"/>
      <c r="AL194" s="33"/>
      <c r="AM194" s="33"/>
      <c r="AN194" s="42"/>
      <c r="AO194" s="108">
        <v>1214</v>
      </c>
      <c r="AP194" s="113">
        <v>46136</v>
      </c>
      <c r="AQ194" s="109">
        <v>46170</v>
      </c>
      <c r="AR194" s="110" t="s">
        <v>58</v>
      </c>
      <c r="AS194" s="110"/>
    </row>
    <row r="195" spans="1:45" x14ac:dyDescent="0.2">
      <c r="A195" s="60"/>
      <c r="B195" s="33">
        <v>158</v>
      </c>
      <c r="C195" s="34">
        <v>1215</v>
      </c>
      <c r="D195" s="34" t="s">
        <v>891</v>
      </c>
      <c r="E195" s="34"/>
      <c r="F195" s="34"/>
      <c r="G195" s="34"/>
      <c r="H195" s="34"/>
      <c r="I195" s="34"/>
      <c r="J195" s="34"/>
      <c r="K195" s="34"/>
      <c r="L195" s="34"/>
      <c r="M195" s="34" t="s">
        <v>58</v>
      </c>
      <c r="N195" s="34"/>
      <c r="O195" s="34" t="s">
        <v>12</v>
      </c>
      <c r="P195" s="35"/>
      <c r="Q195" s="35"/>
      <c r="R195" s="35"/>
      <c r="S195" s="35"/>
      <c r="T195" s="35"/>
      <c r="U195" s="35">
        <f>Q195-S195</f>
        <v>0</v>
      </c>
      <c r="V195" s="36"/>
      <c r="W195" s="37"/>
      <c r="X195" s="35" t="e">
        <f>VLOOKUP(C195,Banorte!F:K,6,FALSE)</f>
        <v>#N/A</v>
      </c>
      <c r="Y195" s="35"/>
      <c r="Z195" s="35" t="e">
        <f>X195-Y195</f>
        <v>#N/A</v>
      </c>
      <c r="AA195" s="38"/>
      <c r="AB195" s="34"/>
      <c r="AC195" s="43"/>
      <c r="AD195" s="44"/>
      <c r="AE195" s="33"/>
      <c r="AF195" s="39"/>
      <c r="AG195" s="40"/>
      <c r="AH195" s="114"/>
      <c r="AI195" s="109">
        <v>46170</v>
      </c>
      <c r="AJ195" s="116"/>
      <c r="AK195" s="41"/>
      <c r="AL195" s="33"/>
      <c r="AM195" s="33"/>
      <c r="AN195" s="42"/>
      <c r="AO195" s="111">
        <v>1215</v>
      </c>
      <c r="AP195" s="113">
        <v>46136</v>
      </c>
      <c r="AQ195" s="109">
        <v>46170</v>
      </c>
      <c r="AR195" s="110" t="s">
        <v>58</v>
      </c>
      <c r="AS195" s="110" t="s">
        <v>902</v>
      </c>
    </row>
    <row r="196" spans="1:45" x14ac:dyDescent="0.2">
      <c r="A196" s="60"/>
      <c r="B196" s="33">
        <v>122</v>
      </c>
      <c r="C196" s="33">
        <v>1216</v>
      </c>
      <c r="D196" s="33" t="s">
        <v>890</v>
      </c>
      <c r="E196" s="34"/>
      <c r="F196" s="34" t="s">
        <v>442</v>
      </c>
      <c r="G196" s="34" t="s">
        <v>443</v>
      </c>
      <c r="H196" s="34"/>
      <c r="I196" s="34"/>
      <c r="J196" s="34"/>
      <c r="K196" s="34"/>
      <c r="L196" s="34"/>
      <c r="M196" s="34" t="s">
        <v>445</v>
      </c>
      <c r="N196" s="34"/>
      <c r="O196" s="34" t="s">
        <v>11</v>
      </c>
      <c r="P196" s="35">
        <v>570000</v>
      </c>
      <c r="Q196" s="35">
        <f>P196*$U$3</f>
        <v>10545000</v>
      </c>
      <c r="R196" s="35">
        <v>179720</v>
      </c>
      <c r="S196" s="35"/>
      <c r="T196" s="35">
        <f>P196-R196</f>
        <v>390280</v>
      </c>
      <c r="U196" s="35">
        <f>T196*U$3</f>
        <v>7220180</v>
      </c>
      <c r="V196" s="36"/>
      <c r="W196" s="37" t="s">
        <v>55</v>
      </c>
      <c r="X196" s="35" t="e">
        <f>VLOOKUP(C196,Banorte!F:K,6,FALSE)</f>
        <v>#N/A</v>
      </c>
      <c r="Y196" s="35"/>
      <c r="Z196" s="35" t="e">
        <f>X196-Y196</f>
        <v>#N/A</v>
      </c>
      <c r="AA196" s="38"/>
      <c r="AB196" s="34"/>
      <c r="AC196" s="43"/>
      <c r="AD196" s="44"/>
      <c r="AE196" s="33"/>
      <c r="AF196" s="39"/>
      <c r="AG196" s="40"/>
      <c r="AH196" s="114"/>
      <c r="AI196" s="109">
        <v>46170</v>
      </c>
      <c r="AJ196" s="116"/>
      <c r="AK196" s="41"/>
      <c r="AL196" s="33"/>
      <c r="AM196" s="33"/>
      <c r="AN196" s="42"/>
      <c r="AO196" s="108">
        <v>1216</v>
      </c>
      <c r="AP196" s="113">
        <v>46136</v>
      </c>
      <c r="AQ196" s="109">
        <v>46170</v>
      </c>
      <c r="AR196" s="110" t="s">
        <v>445</v>
      </c>
      <c r="AS196" s="110"/>
    </row>
    <row r="197" spans="1:45" x14ac:dyDescent="0.2">
      <c r="A197" s="60"/>
      <c r="B197" s="33">
        <v>123</v>
      </c>
      <c r="C197" s="33">
        <v>1217</v>
      </c>
      <c r="D197" s="33" t="s">
        <v>890</v>
      </c>
      <c r="E197" s="34"/>
      <c r="F197" s="34" t="s">
        <v>261</v>
      </c>
      <c r="G197" s="34" t="s">
        <v>444</v>
      </c>
      <c r="H197" s="34"/>
      <c r="I197" s="34"/>
      <c r="J197" s="34"/>
      <c r="K197" s="34"/>
      <c r="L197" s="34"/>
      <c r="M197" s="34" t="s">
        <v>445</v>
      </c>
      <c r="N197" s="34"/>
      <c r="O197" s="34" t="s">
        <v>11</v>
      </c>
      <c r="P197" s="35">
        <v>570000</v>
      </c>
      <c r="Q197" s="35">
        <f>P197*$U$3</f>
        <v>10545000</v>
      </c>
      <c r="R197" s="35">
        <v>179720</v>
      </c>
      <c r="S197" s="35"/>
      <c r="T197" s="35">
        <f>P197-R197</f>
        <v>390280</v>
      </c>
      <c r="U197" s="35">
        <f>T197*U$3</f>
        <v>7220180</v>
      </c>
      <c r="V197" s="36"/>
      <c r="W197" s="37" t="s">
        <v>55</v>
      </c>
      <c r="X197" s="35" t="e">
        <f>VLOOKUP(C197,Banorte!F:K,6,FALSE)</f>
        <v>#N/A</v>
      </c>
      <c r="Y197" s="35"/>
      <c r="Z197" s="35" t="e">
        <f>X197-Y197</f>
        <v>#N/A</v>
      </c>
      <c r="AA197" s="37"/>
      <c r="AB197" s="34"/>
      <c r="AC197" s="43"/>
      <c r="AD197" s="44"/>
      <c r="AE197" s="34"/>
      <c r="AF197" s="39"/>
      <c r="AG197" s="40"/>
      <c r="AH197" s="114"/>
      <c r="AI197" s="109">
        <v>46170</v>
      </c>
      <c r="AJ197" s="116"/>
      <c r="AK197" s="41"/>
      <c r="AL197" s="33"/>
      <c r="AM197" s="33"/>
      <c r="AN197" s="42"/>
      <c r="AO197" s="108">
        <v>1217</v>
      </c>
      <c r="AP197" s="113">
        <v>46136</v>
      </c>
      <c r="AQ197" s="109">
        <v>46170</v>
      </c>
      <c r="AR197" s="110" t="s">
        <v>445</v>
      </c>
      <c r="AS197" s="110"/>
    </row>
    <row r="198" spans="1:45" x14ac:dyDescent="0.2">
      <c r="A198" s="60"/>
      <c r="B198" s="32"/>
      <c r="C198" s="32"/>
      <c r="D198" s="32"/>
      <c r="E198" s="32"/>
      <c r="F198" s="45"/>
      <c r="G198" s="45"/>
      <c r="H198" s="45"/>
      <c r="I198" s="32"/>
      <c r="J198" s="9"/>
      <c r="K198" s="9"/>
      <c r="L198" s="45"/>
      <c r="M198" s="45"/>
      <c r="N198" s="45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9"/>
      <c r="AF198" s="32"/>
      <c r="AG198" s="46"/>
      <c r="AH198" s="46"/>
      <c r="AI198" s="47"/>
      <c r="AJ198" s="47"/>
      <c r="AK198" s="46"/>
      <c r="AL198" s="9"/>
      <c r="AM198" s="32"/>
      <c r="AN198" s="42"/>
    </row>
    <row r="199" spans="1:45" x14ac:dyDescent="0.2">
      <c r="A199" s="60"/>
      <c r="B199" s="32"/>
      <c r="C199" s="32"/>
      <c r="D199" s="32"/>
      <c r="E199" s="32"/>
      <c r="F199" s="45"/>
      <c r="G199" s="45"/>
      <c r="H199" s="45"/>
      <c r="I199" s="32"/>
      <c r="J199" s="9"/>
      <c r="K199" s="9"/>
      <c r="L199" s="45"/>
      <c r="M199" s="45"/>
      <c r="N199" s="45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9"/>
      <c r="AF199" s="32"/>
      <c r="AG199" s="46"/>
      <c r="AH199" s="46"/>
      <c r="AI199" s="47"/>
      <c r="AJ199" s="47"/>
      <c r="AK199" s="46"/>
      <c r="AL199" s="9"/>
      <c r="AM199" s="32"/>
      <c r="AN199" s="42"/>
    </row>
    <row r="200" spans="1:45" x14ac:dyDescent="0.2">
      <c r="A200" s="60"/>
      <c r="B200" s="32"/>
      <c r="C200" s="32"/>
      <c r="D200" s="32"/>
      <c r="E200" s="32"/>
      <c r="F200" s="45"/>
      <c r="G200" s="45"/>
      <c r="H200" s="45"/>
      <c r="I200" s="32"/>
      <c r="J200" s="9"/>
      <c r="K200" s="9"/>
      <c r="L200" s="45"/>
      <c r="M200" s="45"/>
      <c r="N200" s="45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9"/>
      <c r="AF200" s="32"/>
      <c r="AG200" s="46"/>
      <c r="AH200" s="46"/>
      <c r="AI200" s="47"/>
      <c r="AJ200" s="47"/>
      <c r="AK200" s="46"/>
      <c r="AL200" s="9"/>
      <c r="AM200" s="32"/>
      <c r="AN200" s="42"/>
    </row>
    <row r="201" spans="1:45" x14ac:dyDescent="0.2">
      <c r="A201" s="60"/>
      <c r="B201" s="32"/>
      <c r="C201" s="32"/>
      <c r="D201" s="32"/>
      <c r="E201" s="32"/>
      <c r="F201" s="45"/>
      <c r="G201" s="45"/>
      <c r="H201" s="45"/>
      <c r="I201" s="32"/>
      <c r="J201" s="9"/>
      <c r="K201" s="9"/>
      <c r="L201" s="45"/>
      <c r="M201" s="45"/>
      <c r="N201" s="45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9"/>
      <c r="AF201" s="32"/>
      <c r="AG201" s="46"/>
      <c r="AH201" s="46"/>
      <c r="AI201" s="47"/>
      <c r="AJ201" s="47"/>
      <c r="AK201" s="46"/>
      <c r="AL201" s="9"/>
      <c r="AM201" s="32"/>
      <c r="AN201" s="42"/>
    </row>
    <row r="202" spans="1:45" x14ac:dyDescent="0.2">
      <c r="A202" s="60"/>
      <c r="B202" s="32"/>
      <c r="C202" s="32"/>
      <c r="D202" s="32"/>
      <c r="E202" s="32"/>
      <c r="F202" s="45"/>
      <c r="G202" s="45"/>
      <c r="H202" s="45"/>
      <c r="I202" s="32"/>
      <c r="J202" s="9"/>
      <c r="K202" s="9"/>
      <c r="L202" s="45"/>
      <c r="M202" s="45"/>
      <c r="N202" s="45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9"/>
      <c r="AF202" s="32"/>
      <c r="AG202" s="46"/>
      <c r="AH202" s="46"/>
      <c r="AI202" s="47"/>
      <c r="AJ202" s="47"/>
      <c r="AK202" s="46"/>
      <c r="AL202" s="9"/>
      <c r="AM202" s="32"/>
      <c r="AN202" s="42"/>
    </row>
    <row r="203" spans="1:45" x14ac:dyDescent="0.2">
      <c r="A203" s="60"/>
      <c r="B203" s="32"/>
      <c r="C203" s="32"/>
      <c r="D203" s="32"/>
      <c r="E203" s="32"/>
      <c r="F203" s="45"/>
      <c r="G203" s="45"/>
      <c r="H203" s="45"/>
      <c r="I203" s="32"/>
      <c r="J203" s="9"/>
      <c r="K203" s="9"/>
      <c r="L203" s="45"/>
      <c r="M203" s="45"/>
      <c r="N203" s="45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9"/>
      <c r="AF203" s="32"/>
      <c r="AG203" s="46"/>
      <c r="AH203" s="46"/>
      <c r="AI203" s="47"/>
      <c r="AJ203" s="47"/>
      <c r="AK203" s="46"/>
      <c r="AL203" s="9"/>
      <c r="AM203" s="32"/>
      <c r="AN203" s="42"/>
    </row>
    <row r="204" spans="1:45" x14ac:dyDescent="0.2">
      <c r="A204" s="60"/>
      <c r="B204" s="32"/>
      <c r="C204" s="32"/>
      <c r="D204" s="32"/>
      <c r="E204" s="32"/>
      <c r="F204" s="45"/>
      <c r="G204" s="45"/>
      <c r="H204" s="45"/>
      <c r="I204" s="32"/>
      <c r="J204" s="9"/>
      <c r="K204" s="9"/>
      <c r="L204" s="45"/>
      <c r="M204" s="45"/>
      <c r="N204" s="45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9"/>
      <c r="AF204" s="32"/>
      <c r="AG204" s="46"/>
      <c r="AH204" s="46"/>
      <c r="AI204" s="47"/>
      <c r="AJ204" s="47"/>
      <c r="AK204" s="46"/>
      <c r="AL204" s="9"/>
      <c r="AM204" s="32"/>
      <c r="AN204" s="42"/>
    </row>
    <row r="205" spans="1:45" x14ac:dyDescent="0.2">
      <c r="A205" s="60"/>
      <c r="B205" s="32"/>
      <c r="C205" s="32"/>
      <c r="D205" s="32"/>
      <c r="E205" s="32"/>
      <c r="F205" s="45"/>
      <c r="G205" s="45"/>
      <c r="H205" s="45"/>
      <c r="I205" s="32"/>
      <c r="J205" s="9"/>
      <c r="K205" s="9"/>
      <c r="L205" s="45"/>
      <c r="M205" s="45"/>
      <c r="N205" s="45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9"/>
      <c r="AF205" s="32"/>
      <c r="AG205" s="46"/>
      <c r="AH205" s="46"/>
      <c r="AI205" s="47"/>
      <c r="AJ205" s="47"/>
      <c r="AK205" s="46"/>
      <c r="AL205" s="9"/>
      <c r="AM205" s="32"/>
      <c r="AN205" s="42"/>
    </row>
    <row r="206" spans="1:45" x14ac:dyDescent="0.2">
      <c r="A206" s="60"/>
      <c r="B206" s="32"/>
      <c r="C206" s="32"/>
      <c r="D206" s="32"/>
      <c r="E206" s="32"/>
      <c r="F206" s="45"/>
      <c r="G206" s="45"/>
      <c r="H206" s="45"/>
      <c r="I206" s="32"/>
      <c r="J206" s="9"/>
      <c r="K206" s="9"/>
      <c r="L206" s="45"/>
      <c r="M206" s="45"/>
      <c r="N206" s="45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9"/>
      <c r="AF206" s="32"/>
      <c r="AG206" s="46"/>
      <c r="AH206" s="46"/>
      <c r="AI206" s="47"/>
      <c r="AJ206" s="47"/>
      <c r="AK206" s="46"/>
      <c r="AL206" s="9"/>
      <c r="AM206" s="32"/>
      <c r="AN206" s="42"/>
    </row>
    <row r="207" spans="1:45" x14ac:dyDescent="0.2">
      <c r="A207" s="60"/>
      <c r="B207" s="32"/>
      <c r="C207" s="32"/>
      <c r="D207" s="32"/>
      <c r="E207" s="32"/>
      <c r="F207" s="45"/>
      <c r="G207" s="45"/>
      <c r="H207" s="45"/>
      <c r="I207" s="32"/>
      <c r="J207" s="9"/>
      <c r="K207" s="9"/>
      <c r="L207" s="45"/>
      <c r="M207" s="45"/>
      <c r="N207" s="45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9"/>
      <c r="AF207" s="32"/>
      <c r="AG207" s="46"/>
      <c r="AH207" s="46"/>
      <c r="AI207" s="47"/>
      <c r="AJ207" s="47"/>
      <c r="AK207" s="46"/>
      <c r="AL207" s="9"/>
      <c r="AM207" s="32"/>
      <c r="AN207" s="42"/>
    </row>
    <row r="208" spans="1:45" x14ac:dyDescent="0.2">
      <c r="A208" s="60"/>
      <c r="B208" s="32"/>
      <c r="C208" s="32"/>
      <c r="D208" s="32"/>
      <c r="E208" s="32"/>
      <c r="F208" s="45"/>
      <c r="G208" s="45"/>
      <c r="H208" s="45"/>
      <c r="I208" s="32"/>
      <c r="J208" s="9"/>
      <c r="K208" s="9"/>
      <c r="L208" s="45"/>
      <c r="M208" s="45"/>
      <c r="N208" s="45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9"/>
      <c r="AF208" s="32"/>
      <c r="AG208" s="46"/>
      <c r="AH208" s="46"/>
      <c r="AI208" s="47"/>
      <c r="AJ208" s="47"/>
      <c r="AK208" s="46"/>
      <c r="AL208" s="9"/>
      <c r="AM208" s="32"/>
      <c r="AN208" s="42"/>
    </row>
    <row r="209" spans="1:40" x14ac:dyDescent="0.2">
      <c r="A209" s="60"/>
      <c r="B209" s="32"/>
      <c r="C209" s="32"/>
      <c r="D209" s="32"/>
      <c r="E209" s="32"/>
      <c r="F209" s="45"/>
      <c r="G209" s="45"/>
      <c r="H209" s="45"/>
      <c r="I209" s="32"/>
      <c r="J209" s="9"/>
      <c r="K209" s="9"/>
      <c r="L209" s="45"/>
      <c r="M209" s="45"/>
      <c r="N209" s="45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9"/>
      <c r="AF209" s="32"/>
      <c r="AG209" s="46"/>
      <c r="AH209" s="46"/>
      <c r="AI209" s="47"/>
      <c r="AJ209" s="47"/>
      <c r="AK209" s="46"/>
      <c r="AL209" s="9"/>
      <c r="AM209" s="32"/>
      <c r="AN209" s="42"/>
    </row>
    <row r="210" spans="1:40" x14ac:dyDescent="0.2">
      <c r="A210" s="60"/>
      <c r="B210" s="32"/>
      <c r="C210" s="32"/>
      <c r="D210" s="32"/>
      <c r="E210" s="32"/>
      <c r="F210" s="45"/>
      <c r="G210" s="45"/>
      <c r="H210" s="45"/>
      <c r="I210" s="32"/>
      <c r="J210" s="9"/>
      <c r="K210" s="9"/>
      <c r="L210" s="45"/>
      <c r="M210" s="45"/>
      <c r="N210" s="45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9"/>
      <c r="AF210" s="32"/>
      <c r="AG210" s="46"/>
      <c r="AH210" s="46"/>
      <c r="AI210" s="47"/>
      <c r="AJ210" s="47"/>
      <c r="AK210" s="46"/>
      <c r="AL210" s="9"/>
      <c r="AM210" s="32"/>
      <c r="AN210" s="42"/>
    </row>
    <row r="211" spans="1:40" x14ac:dyDescent="0.2">
      <c r="A211" s="60"/>
      <c r="B211" s="32"/>
      <c r="C211" s="32"/>
      <c r="D211" s="32"/>
      <c r="E211" s="32"/>
      <c r="F211" s="45"/>
      <c r="G211" s="45"/>
      <c r="H211" s="45"/>
      <c r="I211" s="32"/>
      <c r="J211" s="9"/>
      <c r="K211" s="9"/>
      <c r="L211" s="45"/>
      <c r="M211" s="45"/>
      <c r="N211" s="45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9"/>
      <c r="AF211" s="32"/>
      <c r="AG211" s="46"/>
      <c r="AH211" s="46"/>
      <c r="AI211" s="47"/>
      <c r="AJ211" s="47"/>
      <c r="AK211" s="46"/>
      <c r="AL211" s="9"/>
      <c r="AM211" s="32"/>
      <c r="AN211" s="42"/>
    </row>
    <row r="212" spans="1:40" x14ac:dyDescent="0.2">
      <c r="A212" s="60"/>
      <c r="B212" s="32"/>
      <c r="C212" s="32"/>
      <c r="D212" s="32"/>
      <c r="E212" s="32"/>
      <c r="F212" s="45"/>
      <c r="G212" s="45"/>
      <c r="H212" s="45"/>
      <c r="I212" s="32"/>
      <c r="J212" s="9"/>
      <c r="K212" s="9"/>
      <c r="L212" s="45"/>
      <c r="M212" s="45"/>
      <c r="N212" s="45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9"/>
      <c r="AF212" s="32"/>
      <c r="AG212" s="46"/>
      <c r="AH212" s="46"/>
      <c r="AI212" s="47"/>
      <c r="AJ212" s="47"/>
      <c r="AK212" s="46"/>
      <c r="AL212" s="9"/>
      <c r="AM212" s="32"/>
      <c r="AN212" s="42"/>
    </row>
    <row r="213" spans="1:40" x14ac:dyDescent="0.2">
      <c r="A213" s="60"/>
      <c r="B213" s="32"/>
      <c r="C213" s="32"/>
      <c r="D213" s="32"/>
      <c r="E213" s="32"/>
      <c r="F213" s="45"/>
      <c r="G213" s="45"/>
      <c r="H213" s="45"/>
      <c r="I213" s="32"/>
      <c r="J213" s="9"/>
      <c r="K213" s="9"/>
      <c r="L213" s="45"/>
      <c r="M213" s="45"/>
      <c r="N213" s="45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9"/>
      <c r="AF213" s="32"/>
      <c r="AG213" s="46"/>
      <c r="AH213" s="46"/>
      <c r="AI213" s="47"/>
      <c r="AJ213" s="47"/>
      <c r="AK213" s="46"/>
      <c r="AL213" s="9"/>
      <c r="AM213" s="32"/>
      <c r="AN213" s="42"/>
    </row>
    <row r="214" spans="1:40" x14ac:dyDescent="0.2">
      <c r="A214" s="60"/>
      <c r="B214" s="32"/>
      <c r="C214" s="32"/>
      <c r="D214" s="32"/>
      <c r="E214" s="32"/>
      <c r="F214" s="45"/>
      <c r="G214" s="45"/>
      <c r="H214" s="45"/>
      <c r="I214" s="32"/>
      <c r="J214" s="9"/>
      <c r="K214" s="9"/>
      <c r="L214" s="45"/>
      <c r="M214" s="45"/>
      <c r="N214" s="45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9"/>
      <c r="AF214" s="32"/>
      <c r="AG214" s="46"/>
      <c r="AH214" s="46"/>
      <c r="AI214" s="47"/>
      <c r="AJ214" s="47"/>
      <c r="AK214" s="46"/>
      <c r="AL214" s="9"/>
      <c r="AM214" s="32"/>
      <c r="AN214" s="42"/>
    </row>
    <row r="215" spans="1:40" x14ac:dyDescent="0.2">
      <c r="A215" s="60"/>
      <c r="B215" s="32"/>
      <c r="C215" s="32"/>
      <c r="D215" s="32"/>
      <c r="E215" s="32"/>
      <c r="F215" s="45"/>
      <c r="G215" s="45"/>
      <c r="H215" s="45"/>
      <c r="I215" s="32"/>
      <c r="J215" s="9"/>
      <c r="K215" s="9"/>
      <c r="L215" s="45"/>
      <c r="M215" s="45"/>
      <c r="N215" s="45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9"/>
      <c r="AF215" s="32"/>
      <c r="AG215" s="46"/>
      <c r="AH215" s="46"/>
      <c r="AI215" s="47"/>
      <c r="AJ215" s="47"/>
      <c r="AK215" s="46"/>
      <c r="AL215" s="9"/>
      <c r="AM215" s="32"/>
      <c r="AN215" s="42"/>
    </row>
    <row r="216" spans="1:40" x14ac:dyDescent="0.2">
      <c r="A216" s="60"/>
      <c r="B216" s="32"/>
      <c r="C216" s="32"/>
      <c r="D216" s="32"/>
      <c r="E216" s="32"/>
      <c r="F216" s="45"/>
      <c r="G216" s="45"/>
      <c r="H216" s="45"/>
      <c r="I216" s="32"/>
      <c r="J216" s="9"/>
      <c r="K216" s="9"/>
      <c r="L216" s="45"/>
      <c r="M216" s="45"/>
      <c r="N216" s="45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9"/>
      <c r="AF216" s="32"/>
      <c r="AG216" s="46"/>
      <c r="AH216" s="46"/>
      <c r="AI216" s="47"/>
      <c r="AJ216" s="47"/>
      <c r="AK216" s="46"/>
      <c r="AL216" s="9"/>
      <c r="AM216" s="32"/>
      <c r="AN216" s="42"/>
    </row>
    <row r="217" spans="1:40" x14ac:dyDescent="0.2">
      <c r="A217" s="60"/>
      <c r="B217" s="32"/>
      <c r="C217" s="32"/>
      <c r="D217" s="32"/>
      <c r="E217" s="32"/>
      <c r="F217" s="45"/>
      <c r="G217" s="45"/>
      <c r="H217" s="45"/>
      <c r="I217" s="32"/>
      <c r="J217" s="9"/>
      <c r="K217" s="9"/>
      <c r="L217" s="45"/>
      <c r="M217" s="45"/>
      <c r="N217" s="45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9"/>
      <c r="AF217" s="32"/>
      <c r="AG217" s="46"/>
      <c r="AH217" s="46"/>
      <c r="AI217" s="47"/>
      <c r="AJ217" s="47"/>
      <c r="AK217" s="46"/>
      <c r="AL217" s="9"/>
      <c r="AM217" s="32"/>
      <c r="AN217" s="42"/>
    </row>
    <row r="218" spans="1:40" x14ac:dyDescent="0.2">
      <c r="A218" s="60"/>
      <c r="B218" s="32"/>
      <c r="C218" s="32"/>
      <c r="D218" s="32"/>
      <c r="E218" s="32"/>
      <c r="F218" s="45"/>
      <c r="G218" s="45"/>
      <c r="H218" s="45"/>
      <c r="I218" s="32"/>
      <c r="J218" s="9"/>
      <c r="K218" s="9"/>
      <c r="L218" s="45"/>
      <c r="M218" s="45"/>
      <c r="N218" s="45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9"/>
      <c r="AF218" s="32"/>
      <c r="AG218" s="46"/>
      <c r="AH218" s="46"/>
      <c r="AI218" s="47"/>
      <c r="AJ218" s="47"/>
      <c r="AK218" s="46"/>
      <c r="AL218" s="9"/>
      <c r="AM218" s="32"/>
      <c r="AN218" s="42"/>
    </row>
    <row r="219" spans="1:40" x14ac:dyDescent="0.2">
      <c r="A219" s="60"/>
      <c r="B219" s="32"/>
      <c r="C219" s="32"/>
      <c r="D219" s="32"/>
      <c r="E219" s="32"/>
      <c r="F219" s="45"/>
      <c r="G219" s="45"/>
      <c r="H219" s="45"/>
      <c r="I219" s="32"/>
      <c r="J219" s="9"/>
      <c r="K219" s="9"/>
      <c r="L219" s="45"/>
      <c r="M219" s="45"/>
      <c r="N219" s="45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9"/>
      <c r="AF219" s="32"/>
      <c r="AG219" s="46"/>
      <c r="AH219" s="46"/>
      <c r="AI219" s="47"/>
      <c r="AJ219" s="47"/>
      <c r="AK219" s="46"/>
      <c r="AL219" s="9"/>
      <c r="AM219" s="32"/>
      <c r="AN219" s="42"/>
    </row>
    <row r="220" spans="1:40" x14ac:dyDescent="0.2">
      <c r="A220" s="60"/>
      <c r="B220" s="32"/>
      <c r="C220" s="32"/>
      <c r="D220" s="32"/>
      <c r="E220" s="32"/>
      <c r="F220" s="45"/>
      <c r="G220" s="45"/>
      <c r="H220" s="45"/>
      <c r="I220" s="32"/>
      <c r="J220" s="9"/>
      <c r="K220" s="9"/>
      <c r="L220" s="45"/>
      <c r="M220" s="45"/>
      <c r="N220" s="45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9"/>
      <c r="AF220" s="32"/>
      <c r="AG220" s="46"/>
      <c r="AH220" s="46"/>
      <c r="AI220" s="47"/>
      <c r="AJ220" s="47"/>
      <c r="AK220" s="46"/>
      <c r="AL220" s="9"/>
      <c r="AM220" s="32"/>
      <c r="AN220" s="42"/>
    </row>
    <row r="221" spans="1:40" x14ac:dyDescent="0.2">
      <c r="A221" s="60"/>
      <c r="B221" s="32"/>
      <c r="C221" s="32"/>
      <c r="D221" s="32"/>
      <c r="E221" s="32"/>
      <c r="F221" s="45"/>
      <c r="G221" s="45"/>
      <c r="H221" s="45"/>
      <c r="I221" s="32"/>
      <c r="J221" s="9"/>
      <c r="K221" s="9"/>
      <c r="L221" s="45"/>
      <c r="M221" s="45"/>
      <c r="N221" s="45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9"/>
      <c r="AF221" s="32"/>
      <c r="AG221" s="46"/>
      <c r="AH221" s="46"/>
      <c r="AI221" s="47"/>
      <c r="AJ221" s="47"/>
      <c r="AK221" s="46"/>
      <c r="AL221" s="9"/>
      <c r="AM221" s="32"/>
      <c r="AN221" s="42"/>
    </row>
    <row r="222" spans="1:40" x14ac:dyDescent="0.2">
      <c r="A222" s="60"/>
      <c r="B222" s="32"/>
      <c r="C222" s="32"/>
      <c r="D222" s="32"/>
      <c r="E222" s="32"/>
      <c r="F222" s="45"/>
      <c r="G222" s="45"/>
      <c r="H222" s="45"/>
      <c r="I222" s="32"/>
      <c r="J222" s="9"/>
      <c r="K222" s="9"/>
      <c r="L222" s="45"/>
      <c r="M222" s="45"/>
      <c r="N222" s="45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9"/>
      <c r="AF222" s="32"/>
      <c r="AG222" s="46"/>
      <c r="AH222" s="46"/>
      <c r="AI222" s="47"/>
      <c r="AJ222" s="47"/>
      <c r="AK222" s="46"/>
      <c r="AL222" s="9"/>
      <c r="AM222" s="32"/>
      <c r="AN222" s="42"/>
    </row>
    <row r="223" spans="1:40" x14ac:dyDescent="0.2">
      <c r="A223" s="60"/>
      <c r="B223" s="32"/>
      <c r="C223" s="32"/>
      <c r="D223" s="32"/>
      <c r="E223" s="32"/>
      <c r="F223" s="45"/>
      <c r="G223" s="45"/>
      <c r="H223" s="45"/>
      <c r="I223" s="32"/>
      <c r="J223" s="9"/>
      <c r="K223" s="9"/>
      <c r="L223" s="45"/>
      <c r="M223" s="45"/>
      <c r="N223" s="45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9"/>
      <c r="AF223" s="32"/>
      <c r="AG223" s="46"/>
      <c r="AH223" s="46"/>
      <c r="AI223" s="47"/>
      <c r="AJ223" s="47"/>
      <c r="AK223" s="46"/>
      <c r="AL223" s="9"/>
      <c r="AM223" s="32"/>
      <c r="AN223" s="42"/>
    </row>
    <row r="224" spans="1:40" x14ac:dyDescent="0.2">
      <c r="A224" s="60"/>
      <c r="B224" s="32"/>
      <c r="C224" s="32"/>
      <c r="D224" s="32"/>
      <c r="E224" s="32"/>
      <c r="F224" s="45"/>
      <c r="G224" s="45"/>
      <c r="H224" s="45"/>
      <c r="I224" s="32"/>
      <c r="J224" s="9"/>
      <c r="K224" s="9"/>
      <c r="L224" s="45"/>
      <c r="M224" s="45"/>
      <c r="N224" s="45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9"/>
      <c r="AF224" s="32"/>
      <c r="AG224" s="46"/>
      <c r="AH224" s="46"/>
      <c r="AI224" s="47"/>
      <c r="AJ224" s="47"/>
      <c r="AK224" s="46"/>
      <c r="AL224" s="9"/>
      <c r="AM224" s="32"/>
      <c r="AN224" s="42"/>
    </row>
    <row r="225" spans="1:40" x14ac:dyDescent="0.2">
      <c r="A225" s="60"/>
      <c r="B225" s="32"/>
      <c r="C225" s="32"/>
      <c r="D225" s="32"/>
      <c r="E225" s="32"/>
      <c r="F225" s="45"/>
      <c r="G225" s="45"/>
      <c r="H225" s="45"/>
      <c r="I225" s="32"/>
      <c r="J225" s="9"/>
      <c r="K225" s="9"/>
      <c r="L225" s="45"/>
      <c r="M225" s="45"/>
      <c r="N225" s="45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9"/>
      <c r="AF225" s="32"/>
      <c r="AG225" s="46"/>
      <c r="AH225" s="46"/>
      <c r="AI225" s="47"/>
      <c r="AJ225" s="47"/>
      <c r="AK225" s="46"/>
      <c r="AL225" s="9"/>
      <c r="AM225" s="32"/>
      <c r="AN225" s="42"/>
    </row>
    <row r="226" spans="1:40" x14ac:dyDescent="0.2">
      <c r="A226" s="60"/>
      <c r="B226" s="32"/>
      <c r="C226" s="32"/>
      <c r="D226" s="32"/>
      <c r="E226" s="32"/>
      <c r="F226" s="45"/>
      <c r="G226" s="45"/>
      <c r="H226" s="45"/>
      <c r="I226" s="32"/>
      <c r="J226" s="9"/>
      <c r="K226" s="9"/>
      <c r="L226" s="45"/>
      <c r="M226" s="45"/>
      <c r="N226" s="45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9"/>
      <c r="AF226" s="32"/>
      <c r="AG226" s="46"/>
      <c r="AH226" s="46"/>
      <c r="AI226" s="47"/>
      <c r="AJ226" s="47"/>
      <c r="AK226" s="46"/>
      <c r="AL226" s="9"/>
      <c r="AM226" s="32"/>
      <c r="AN226" s="42"/>
    </row>
    <row r="227" spans="1:40" x14ac:dyDescent="0.2">
      <c r="A227" s="60"/>
      <c r="B227" s="32"/>
      <c r="C227" s="32"/>
      <c r="D227" s="32"/>
      <c r="E227" s="32"/>
      <c r="F227" s="45"/>
      <c r="G227" s="45"/>
      <c r="H227" s="45"/>
      <c r="I227" s="32"/>
      <c r="J227" s="9"/>
      <c r="K227" s="9"/>
      <c r="L227" s="45"/>
      <c r="M227" s="45"/>
      <c r="N227" s="45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9"/>
      <c r="AF227" s="32"/>
      <c r="AG227" s="46"/>
      <c r="AH227" s="46"/>
      <c r="AI227" s="47"/>
      <c r="AJ227" s="47"/>
      <c r="AK227" s="46"/>
      <c r="AL227" s="9"/>
      <c r="AM227" s="32"/>
      <c r="AN227" s="42"/>
    </row>
    <row r="228" spans="1:40" x14ac:dyDescent="0.2">
      <c r="A228" s="60"/>
      <c r="B228" s="32"/>
      <c r="C228" s="32"/>
      <c r="D228" s="32"/>
      <c r="E228" s="32"/>
      <c r="F228" s="45"/>
      <c r="G228" s="45"/>
      <c r="H228" s="45"/>
      <c r="I228" s="32"/>
      <c r="J228" s="9"/>
      <c r="K228" s="9"/>
      <c r="L228" s="45"/>
      <c r="M228" s="45"/>
      <c r="N228" s="45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9"/>
      <c r="AF228" s="32"/>
      <c r="AG228" s="46"/>
      <c r="AH228" s="46"/>
      <c r="AI228" s="47"/>
      <c r="AJ228" s="47"/>
      <c r="AK228" s="46"/>
      <c r="AL228" s="9"/>
      <c r="AM228" s="32"/>
      <c r="AN228" s="42"/>
    </row>
    <row r="229" spans="1:40" x14ac:dyDescent="0.2">
      <c r="A229" s="60"/>
      <c r="B229" s="32"/>
      <c r="C229" s="32"/>
      <c r="D229" s="32"/>
      <c r="E229" s="32"/>
      <c r="F229" s="45"/>
      <c r="G229" s="45"/>
      <c r="H229" s="45"/>
      <c r="I229" s="32"/>
      <c r="J229" s="9"/>
      <c r="K229" s="9"/>
      <c r="L229" s="45"/>
      <c r="M229" s="45"/>
      <c r="N229" s="45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9"/>
      <c r="AF229" s="32"/>
      <c r="AG229" s="46"/>
      <c r="AH229" s="46"/>
      <c r="AI229" s="47"/>
      <c r="AJ229" s="47"/>
      <c r="AK229" s="46"/>
      <c r="AL229" s="9"/>
      <c r="AM229" s="32"/>
      <c r="AN229" s="42"/>
    </row>
    <row r="230" spans="1:40" x14ac:dyDescent="0.2">
      <c r="A230" s="60"/>
      <c r="B230" s="32"/>
      <c r="C230" s="32"/>
      <c r="D230" s="32"/>
      <c r="E230" s="32"/>
      <c r="F230" s="45"/>
      <c r="G230" s="45"/>
      <c r="H230" s="45"/>
      <c r="I230" s="32"/>
      <c r="J230" s="9"/>
      <c r="K230" s="9"/>
      <c r="L230" s="45"/>
      <c r="M230" s="45"/>
      <c r="N230" s="45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9"/>
      <c r="AF230" s="32"/>
      <c r="AG230" s="46"/>
      <c r="AH230" s="46"/>
      <c r="AI230" s="47"/>
      <c r="AJ230" s="47"/>
      <c r="AK230" s="46"/>
      <c r="AL230" s="9"/>
      <c r="AM230" s="32"/>
      <c r="AN230" s="42"/>
    </row>
    <row r="231" spans="1:40" x14ac:dyDescent="0.2">
      <c r="A231" s="60"/>
      <c r="B231" s="32"/>
      <c r="C231" s="32"/>
      <c r="D231" s="32"/>
      <c r="E231" s="32"/>
      <c r="F231" s="45"/>
      <c r="G231" s="45"/>
      <c r="H231" s="45"/>
      <c r="I231" s="32"/>
      <c r="J231" s="9"/>
      <c r="K231" s="9"/>
      <c r="L231" s="45"/>
      <c r="M231" s="45"/>
      <c r="N231" s="45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9"/>
      <c r="AF231" s="32"/>
      <c r="AG231" s="46"/>
      <c r="AH231" s="46"/>
      <c r="AI231" s="47"/>
      <c r="AJ231" s="47"/>
      <c r="AK231" s="46"/>
      <c r="AL231" s="9"/>
      <c r="AM231" s="32"/>
      <c r="AN231" s="42"/>
    </row>
    <row r="232" spans="1:40" x14ac:dyDescent="0.2">
      <c r="A232" s="60"/>
      <c r="B232" s="32"/>
      <c r="C232" s="32"/>
      <c r="D232" s="32"/>
      <c r="E232" s="32"/>
      <c r="F232" s="45"/>
      <c r="G232" s="45"/>
      <c r="H232" s="45"/>
      <c r="I232" s="32"/>
      <c r="J232" s="9"/>
      <c r="K232" s="9"/>
      <c r="L232" s="45"/>
      <c r="M232" s="45"/>
      <c r="N232" s="45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9"/>
      <c r="AF232" s="32"/>
      <c r="AG232" s="46"/>
      <c r="AH232" s="46"/>
      <c r="AI232" s="47"/>
      <c r="AJ232" s="47"/>
      <c r="AK232" s="46"/>
      <c r="AL232" s="9"/>
      <c r="AM232" s="32"/>
      <c r="AN232" s="42"/>
    </row>
    <row r="233" spans="1:40" x14ac:dyDescent="0.2">
      <c r="A233" s="60"/>
      <c r="B233" s="32"/>
      <c r="C233" s="32"/>
      <c r="D233" s="32"/>
      <c r="E233" s="32"/>
      <c r="F233" s="45"/>
      <c r="G233" s="45"/>
      <c r="H233" s="45"/>
      <c r="I233" s="32"/>
      <c r="J233" s="9"/>
      <c r="K233" s="9"/>
      <c r="L233" s="45"/>
      <c r="M233" s="45"/>
      <c r="N233" s="45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9"/>
      <c r="AF233" s="32"/>
      <c r="AG233" s="46"/>
      <c r="AH233" s="46"/>
      <c r="AI233" s="47"/>
      <c r="AJ233" s="47"/>
      <c r="AK233" s="46"/>
      <c r="AL233" s="9"/>
      <c r="AM233" s="32"/>
      <c r="AN233" s="42"/>
    </row>
    <row r="234" spans="1:40" x14ac:dyDescent="0.2">
      <c r="A234" s="60"/>
      <c r="B234" s="32"/>
      <c r="C234" s="32"/>
      <c r="D234" s="32"/>
      <c r="E234" s="32"/>
      <c r="F234" s="45"/>
      <c r="G234" s="45"/>
      <c r="H234" s="45"/>
      <c r="I234" s="32"/>
      <c r="J234" s="9"/>
      <c r="K234" s="9"/>
      <c r="L234" s="45"/>
      <c r="M234" s="45"/>
      <c r="N234" s="45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9"/>
      <c r="AF234" s="32"/>
      <c r="AG234" s="46"/>
      <c r="AH234" s="46"/>
      <c r="AI234" s="47"/>
      <c r="AJ234" s="47"/>
      <c r="AK234" s="46"/>
      <c r="AL234" s="9"/>
      <c r="AM234" s="32"/>
      <c r="AN234" s="42"/>
    </row>
    <row r="235" spans="1:40" x14ac:dyDescent="0.2">
      <c r="A235" s="60"/>
      <c r="B235" s="32"/>
      <c r="C235" s="32"/>
      <c r="D235" s="32"/>
      <c r="E235" s="32"/>
      <c r="F235" s="45"/>
      <c r="G235" s="45"/>
      <c r="H235" s="45"/>
      <c r="I235" s="32"/>
      <c r="J235" s="9"/>
      <c r="K235" s="9"/>
      <c r="L235" s="45"/>
      <c r="M235" s="45"/>
      <c r="N235" s="45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9"/>
      <c r="AF235" s="32"/>
      <c r="AG235" s="46"/>
      <c r="AH235" s="46"/>
      <c r="AI235" s="47"/>
      <c r="AJ235" s="47"/>
      <c r="AK235" s="46"/>
      <c r="AL235" s="9"/>
      <c r="AM235" s="32"/>
      <c r="AN235" s="42"/>
    </row>
    <row r="236" spans="1:40" x14ac:dyDescent="0.2">
      <c r="A236" s="60"/>
      <c r="B236" s="32"/>
      <c r="C236" s="32"/>
      <c r="D236" s="32"/>
      <c r="E236" s="32"/>
      <c r="F236" s="45"/>
      <c r="G236" s="45"/>
      <c r="H236" s="45"/>
      <c r="I236" s="32"/>
      <c r="J236" s="9"/>
      <c r="K236" s="9"/>
      <c r="L236" s="45"/>
      <c r="M236" s="45"/>
      <c r="N236" s="45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9"/>
      <c r="AF236" s="32"/>
      <c r="AG236" s="46"/>
      <c r="AH236" s="46"/>
      <c r="AI236" s="47"/>
      <c r="AJ236" s="47"/>
      <c r="AK236" s="46"/>
      <c r="AL236" s="9"/>
      <c r="AM236" s="32"/>
      <c r="AN236" s="42"/>
    </row>
    <row r="237" spans="1:40" x14ac:dyDescent="0.2">
      <c r="A237" s="60"/>
      <c r="B237" s="32"/>
      <c r="C237" s="32"/>
      <c r="D237" s="32"/>
      <c r="E237" s="32"/>
      <c r="F237" s="45"/>
      <c r="G237" s="45"/>
      <c r="H237" s="45"/>
      <c r="I237" s="32"/>
      <c r="J237" s="9"/>
      <c r="K237" s="9"/>
      <c r="L237" s="45"/>
      <c r="M237" s="45"/>
      <c r="N237" s="45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9"/>
      <c r="AF237" s="32"/>
      <c r="AG237" s="46"/>
      <c r="AH237" s="46"/>
      <c r="AI237" s="47"/>
      <c r="AJ237" s="47"/>
      <c r="AK237" s="46"/>
      <c r="AL237" s="9"/>
      <c r="AM237" s="32"/>
      <c r="AN237" s="42"/>
    </row>
    <row r="238" spans="1:40" x14ac:dyDescent="0.2">
      <c r="A238" s="60"/>
      <c r="B238" s="32"/>
      <c r="C238" s="32"/>
      <c r="D238" s="32"/>
      <c r="E238" s="32"/>
      <c r="F238" s="45"/>
      <c r="G238" s="45"/>
      <c r="H238" s="45"/>
      <c r="I238" s="32"/>
      <c r="J238" s="9"/>
      <c r="K238" s="9"/>
      <c r="L238" s="45"/>
      <c r="M238" s="45"/>
      <c r="N238" s="45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9"/>
      <c r="AF238" s="32"/>
      <c r="AG238" s="46"/>
      <c r="AH238" s="46"/>
      <c r="AI238" s="47"/>
      <c r="AJ238" s="47"/>
      <c r="AK238" s="46"/>
      <c r="AL238" s="9"/>
      <c r="AM238" s="32"/>
      <c r="AN238" s="42"/>
    </row>
    <row r="239" spans="1:40" x14ac:dyDescent="0.2">
      <c r="A239" s="60"/>
      <c r="B239" s="32"/>
      <c r="C239" s="32"/>
      <c r="D239" s="32"/>
      <c r="E239" s="32"/>
      <c r="F239" s="45"/>
      <c r="G239" s="45"/>
      <c r="H239" s="45"/>
      <c r="I239" s="32"/>
      <c r="J239" s="9"/>
      <c r="K239" s="9"/>
      <c r="L239" s="45"/>
      <c r="M239" s="45"/>
      <c r="N239" s="45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9"/>
      <c r="AF239" s="32"/>
      <c r="AG239" s="46"/>
      <c r="AH239" s="46"/>
      <c r="AI239" s="47"/>
      <c r="AJ239" s="47"/>
      <c r="AK239" s="46"/>
      <c r="AL239" s="9"/>
      <c r="AM239" s="32"/>
      <c r="AN239" s="42"/>
    </row>
    <row r="240" spans="1:40" x14ac:dyDescent="0.2">
      <c r="A240" s="60"/>
      <c r="B240" s="32"/>
      <c r="C240" s="32"/>
      <c r="D240" s="32"/>
      <c r="E240" s="32"/>
      <c r="F240" s="45"/>
      <c r="G240" s="45"/>
      <c r="H240" s="45"/>
      <c r="I240" s="32"/>
      <c r="J240" s="9"/>
      <c r="K240" s="9"/>
      <c r="L240" s="45"/>
      <c r="M240" s="45"/>
      <c r="N240" s="45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9"/>
      <c r="AF240" s="32"/>
      <c r="AG240" s="46"/>
      <c r="AH240" s="46"/>
      <c r="AI240" s="47"/>
      <c r="AJ240" s="47"/>
      <c r="AK240" s="46"/>
      <c r="AL240" s="9"/>
      <c r="AM240" s="32"/>
      <c r="AN240" s="42"/>
    </row>
    <row r="241" spans="1:40" x14ac:dyDescent="0.2">
      <c r="A241" s="60"/>
      <c r="B241" s="32"/>
      <c r="C241" s="32"/>
      <c r="D241" s="32"/>
      <c r="E241" s="32"/>
      <c r="F241" s="45"/>
      <c r="G241" s="45"/>
      <c r="H241" s="45"/>
      <c r="I241" s="32"/>
      <c r="J241" s="9"/>
      <c r="K241" s="9"/>
      <c r="L241" s="45"/>
      <c r="M241" s="45"/>
      <c r="N241" s="45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9"/>
      <c r="AF241" s="32"/>
      <c r="AG241" s="46"/>
      <c r="AH241" s="46"/>
      <c r="AI241" s="47"/>
      <c r="AJ241" s="47"/>
      <c r="AK241" s="46"/>
      <c r="AL241" s="9"/>
      <c r="AM241" s="32"/>
      <c r="AN241" s="42"/>
    </row>
    <row r="242" spans="1:40" x14ac:dyDescent="0.2">
      <c r="A242" s="60"/>
      <c r="B242" s="32"/>
      <c r="C242" s="32"/>
      <c r="D242" s="32"/>
      <c r="E242" s="32"/>
      <c r="F242" s="45"/>
      <c r="G242" s="45"/>
      <c r="H242" s="45"/>
      <c r="I242" s="32"/>
      <c r="J242" s="9"/>
      <c r="K242" s="9"/>
      <c r="L242" s="45"/>
      <c r="M242" s="45"/>
      <c r="N242" s="45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9"/>
      <c r="AF242" s="32"/>
      <c r="AG242" s="46"/>
      <c r="AH242" s="46"/>
      <c r="AI242" s="47"/>
      <c r="AJ242" s="47"/>
      <c r="AK242" s="46"/>
      <c r="AL242" s="9"/>
      <c r="AM242" s="32"/>
      <c r="AN242" s="42"/>
    </row>
    <row r="243" spans="1:40" x14ac:dyDescent="0.2">
      <c r="A243" s="60"/>
      <c r="B243" s="32"/>
      <c r="C243" s="32"/>
      <c r="D243" s="32"/>
      <c r="E243" s="32"/>
      <c r="F243" s="45"/>
      <c r="G243" s="45"/>
      <c r="H243" s="45"/>
      <c r="I243" s="32"/>
      <c r="J243" s="9"/>
      <c r="K243" s="9"/>
      <c r="L243" s="45"/>
      <c r="M243" s="45"/>
      <c r="N243" s="45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9"/>
      <c r="AF243" s="32"/>
      <c r="AG243" s="46"/>
      <c r="AH243" s="46"/>
      <c r="AI243" s="47"/>
      <c r="AJ243" s="47"/>
      <c r="AK243" s="46"/>
      <c r="AL243" s="9"/>
      <c r="AM243" s="32"/>
      <c r="AN243" s="42"/>
    </row>
    <row r="244" spans="1:40" x14ac:dyDescent="0.2">
      <c r="A244" s="60"/>
      <c r="B244" s="32"/>
      <c r="C244" s="32"/>
      <c r="D244" s="32"/>
      <c r="E244" s="32"/>
      <c r="F244" s="45"/>
      <c r="G244" s="45"/>
      <c r="H244" s="45"/>
      <c r="I244" s="32"/>
      <c r="J244" s="9"/>
      <c r="K244" s="9"/>
      <c r="L244" s="45"/>
      <c r="M244" s="45"/>
      <c r="N244" s="45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9"/>
      <c r="AF244" s="32"/>
      <c r="AG244" s="46"/>
      <c r="AH244" s="46"/>
      <c r="AI244" s="47"/>
      <c r="AJ244" s="47"/>
      <c r="AK244" s="46"/>
      <c r="AL244" s="9"/>
      <c r="AM244" s="32"/>
      <c r="AN244" s="42"/>
    </row>
    <row r="245" spans="1:40" x14ac:dyDescent="0.2">
      <c r="A245" s="60"/>
      <c r="B245" s="32"/>
      <c r="C245" s="32"/>
      <c r="D245" s="32"/>
      <c r="E245" s="32"/>
      <c r="F245" s="45"/>
      <c r="G245" s="45"/>
      <c r="H245" s="45"/>
      <c r="I245" s="32"/>
      <c r="J245" s="9"/>
      <c r="K245" s="9"/>
      <c r="L245" s="45"/>
      <c r="M245" s="45"/>
      <c r="N245" s="45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9"/>
      <c r="AF245" s="32"/>
      <c r="AG245" s="46"/>
      <c r="AH245" s="46"/>
      <c r="AI245" s="47"/>
      <c r="AJ245" s="47"/>
      <c r="AK245" s="46"/>
      <c r="AL245" s="9"/>
      <c r="AM245" s="32"/>
      <c r="AN245" s="42"/>
    </row>
    <row r="246" spans="1:40" x14ac:dyDescent="0.2">
      <c r="A246" s="60"/>
      <c r="B246" s="102" t="s">
        <v>101</v>
      </c>
      <c r="C246" s="85"/>
      <c r="D246" s="86"/>
      <c r="E246" s="85"/>
      <c r="F246" s="85"/>
      <c r="G246" s="45"/>
      <c r="H246" s="45"/>
      <c r="I246" s="32"/>
      <c r="J246" s="9"/>
      <c r="K246" s="9"/>
      <c r="L246" s="45"/>
      <c r="M246" s="45"/>
      <c r="N246" s="45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9"/>
      <c r="AF246" s="32"/>
      <c r="AG246" s="46"/>
      <c r="AH246" s="46"/>
      <c r="AI246" s="47"/>
      <c r="AJ246" s="47"/>
      <c r="AK246" s="46"/>
      <c r="AL246" s="9"/>
      <c r="AM246" s="32"/>
      <c r="AN246" s="42"/>
    </row>
    <row r="247" spans="1:40" x14ac:dyDescent="0.2">
      <c r="A247" s="60"/>
      <c r="B247" s="84" t="s">
        <v>102</v>
      </c>
      <c r="C247" s="85"/>
      <c r="D247" s="86"/>
      <c r="E247" s="85"/>
      <c r="F247" s="85"/>
      <c r="G247" s="45"/>
      <c r="H247" s="45"/>
      <c r="I247" s="32"/>
      <c r="J247" s="9"/>
      <c r="K247" s="9"/>
      <c r="L247" s="45"/>
      <c r="M247" s="45"/>
      <c r="N247" s="45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9"/>
      <c r="AF247" s="32"/>
      <c r="AG247" s="46"/>
      <c r="AH247" s="46"/>
      <c r="AI247" s="47"/>
      <c r="AJ247" s="47"/>
      <c r="AK247" s="46"/>
      <c r="AL247" s="9"/>
      <c r="AM247" s="32"/>
      <c r="AN247" s="42"/>
    </row>
    <row r="248" spans="1:40" x14ac:dyDescent="0.2">
      <c r="A248" s="60"/>
      <c r="B248" s="87" t="s">
        <v>103</v>
      </c>
      <c r="C248" s="85"/>
      <c r="D248" s="86"/>
      <c r="E248" s="85"/>
      <c r="F248" s="85"/>
      <c r="G248" s="45"/>
      <c r="H248" s="45"/>
      <c r="I248" s="32"/>
      <c r="J248" s="9"/>
      <c r="K248" s="9"/>
      <c r="L248" s="45"/>
      <c r="M248" s="45"/>
      <c r="N248" s="45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9"/>
      <c r="AF248" s="32"/>
      <c r="AG248" s="46"/>
      <c r="AH248" s="46"/>
      <c r="AI248" s="47"/>
      <c r="AJ248" s="47"/>
      <c r="AK248" s="46"/>
      <c r="AL248" s="9"/>
      <c r="AM248" s="32"/>
      <c r="AN248" s="42"/>
    </row>
    <row r="249" spans="1:40" x14ac:dyDescent="0.2">
      <c r="A249" s="60"/>
      <c r="B249" s="88" t="s">
        <v>104</v>
      </c>
      <c r="C249" s="85"/>
      <c r="D249" s="86"/>
      <c r="E249" s="85"/>
      <c r="F249" s="85"/>
      <c r="G249" s="45"/>
      <c r="H249" s="45"/>
      <c r="I249" s="32"/>
      <c r="J249" s="9"/>
      <c r="K249" s="9"/>
      <c r="L249" s="45"/>
      <c r="M249" s="45"/>
      <c r="N249" s="45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9"/>
      <c r="AF249" s="32"/>
      <c r="AG249" s="46"/>
      <c r="AH249" s="46"/>
      <c r="AI249" s="47"/>
      <c r="AJ249" s="47"/>
      <c r="AK249" s="46"/>
      <c r="AL249" s="9"/>
      <c r="AM249" s="32"/>
      <c r="AN249" s="42"/>
    </row>
    <row r="250" spans="1:40" x14ac:dyDescent="0.2">
      <c r="A250" s="60"/>
      <c r="B250" s="32"/>
      <c r="C250" s="32"/>
      <c r="D250" s="32"/>
      <c r="E250" s="32"/>
      <c r="F250" s="45"/>
      <c r="G250" s="45"/>
      <c r="H250" s="45"/>
      <c r="I250" s="32"/>
      <c r="J250" s="9"/>
      <c r="K250" s="9"/>
      <c r="L250" s="45"/>
      <c r="M250" s="45"/>
      <c r="N250" s="45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9"/>
      <c r="AF250" s="32"/>
      <c r="AG250" s="46"/>
      <c r="AH250" s="46"/>
      <c r="AI250" s="47"/>
      <c r="AJ250" s="47"/>
      <c r="AK250" s="46"/>
      <c r="AL250" s="9"/>
      <c r="AM250" s="32"/>
      <c r="AN250" s="42"/>
    </row>
    <row r="251" spans="1:40" x14ac:dyDescent="0.2">
      <c r="A251" s="60"/>
      <c r="B251" s="32"/>
      <c r="C251" s="32"/>
      <c r="D251" s="32"/>
      <c r="E251" s="32"/>
      <c r="F251" s="45"/>
      <c r="G251" s="45"/>
      <c r="H251" s="45"/>
      <c r="I251" s="32"/>
      <c r="J251" s="9"/>
      <c r="K251" s="9"/>
      <c r="L251" s="45"/>
      <c r="M251" s="45"/>
      <c r="N251" s="45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9"/>
      <c r="AF251" s="32"/>
      <c r="AG251" s="46"/>
      <c r="AH251" s="46"/>
      <c r="AI251" s="47"/>
      <c r="AJ251" s="47"/>
      <c r="AK251" s="46"/>
      <c r="AL251" s="9"/>
      <c r="AM251" s="32"/>
      <c r="AN251" s="42"/>
    </row>
    <row r="252" spans="1:40" x14ac:dyDescent="0.2">
      <c r="A252" s="60"/>
      <c r="B252" s="32"/>
      <c r="C252" s="32"/>
      <c r="D252" s="32"/>
      <c r="E252" s="32"/>
      <c r="F252" s="45"/>
      <c r="G252" s="45"/>
      <c r="H252" s="45"/>
      <c r="I252" s="32"/>
      <c r="J252" s="9"/>
      <c r="K252" s="9"/>
      <c r="L252" s="45"/>
      <c r="M252" s="45"/>
      <c r="N252" s="45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9"/>
      <c r="AF252" s="32"/>
      <c r="AG252" s="46"/>
      <c r="AH252" s="46"/>
      <c r="AI252" s="47"/>
      <c r="AJ252" s="47"/>
      <c r="AK252" s="46"/>
      <c r="AL252" s="9"/>
      <c r="AM252" s="32"/>
      <c r="AN252" s="42"/>
    </row>
    <row r="253" spans="1:40" x14ac:dyDescent="0.2">
      <c r="A253" s="60"/>
      <c r="B253" s="32"/>
      <c r="C253" s="32"/>
      <c r="D253" s="32"/>
      <c r="E253" s="32"/>
      <c r="F253" s="45"/>
      <c r="G253" s="45"/>
      <c r="H253" s="45"/>
      <c r="I253" s="32"/>
      <c r="J253" s="9"/>
      <c r="K253" s="9"/>
      <c r="L253" s="45"/>
      <c r="M253" s="45"/>
      <c r="N253" s="45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9"/>
      <c r="AF253" s="32"/>
      <c r="AG253" s="46"/>
      <c r="AH253" s="46"/>
      <c r="AI253" s="47"/>
      <c r="AJ253" s="47"/>
      <c r="AK253" s="46"/>
      <c r="AL253" s="9"/>
      <c r="AM253" s="32"/>
      <c r="AN253" s="42"/>
    </row>
    <row r="254" spans="1:40" x14ac:dyDescent="0.2">
      <c r="A254" s="60"/>
      <c r="B254" s="32"/>
      <c r="C254" s="32"/>
      <c r="D254" s="32"/>
      <c r="E254" s="32"/>
      <c r="F254" s="45"/>
      <c r="G254" s="45"/>
      <c r="H254" s="45"/>
      <c r="I254" s="32"/>
      <c r="J254" s="9"/>
      <c r="K254" s="9"/>
      <c r="L254" s="45"/>
      <c r="M254" s="45"/>
      <c r="N254" s="45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9"/>
      <c r="AF254" s="32"/>
      <c r="AG254" s="46"/>
      <c r="AH254" s="46"/>
      <c r="AI254" s="47"/>
      <c r="AJ254" s="47"/>
      <c r="AK254" s="46"/>
      <c r="AL254" s="9"/>
      <c r="AM254" s="32"/>
      <c r="AN254" s="42"/>
    </row>
    <row r="255" spans="1:40" x14ac:dyDescent="0.2">
      <c r="A255" s="60"/>
      <c r="B255" s="32"/>
      <c r="C255" s="32"/>
      <c r="D255" s="32"/>
      <c r="E255" s="32"/>
      <c r="F255" s="45"/>
      <c r="G255" s="45"/>
      <c r="H255" s="45"/>
      <c r="I255" s="32"/>
      <c r="J255" s="9"/>
      <c r="K255" s="9"/>
      <c r="L255" s="45"/>
      <c r="M255" s="45"/>
      <c r="N255" s="45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9"/>
      <c r="AF255" s="32"/>
      <c r="AG255" s="46"/>
      <c r="AH255" s="46"/>
      <c r="AI255" s="47"/>
      <c r="AJ255" s="47"/>
      <c r="AK255" s="46"/>
      <c r="AL255" s="9"/>
      <c r="AM255" s="32"/>
      <c r="AN255" s="42"/>
    </row>
    <row r="256" spans="1:40" x14ac:dyDescent="0.2">
      <c r="A256" s="60"/>
      <c r="B256" s="32"/>
      <c r="C256" s="32"/>
      <c r="D256" s="32"/>
      <c r="E256" s="32"/>
      <c r="F256" s="45"/>
      <c r="G256" s="45"/>
      <c r="H256" s="45"/>
      <c r="I256" s="32"/>
      <c r="J256" s="9"/>
      <c r="K256" s="9"/>
      <c r="L256" s="45"/>
      <c r="M256" s="45"/>
      <c r="N256" s="45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9"/>
      <c r="AF256" s="32"/>
      <c r="AG256" s="46"/>
      <c r="AH256" s="46"/>
      <c r="AI256" s="47"/>
      <c r="AJ256" s="47"/>
      <c r="AK256" s="46"/>
      <c r="AL256" s="9"/>
      <c r="AM256" s="32"/>
      <c r="AN256" s="42"/>
    </row>
    <row r="257" spans="1:40" x14ac:dyDescent="0.2">
      <c r="A257" s="60"/>
      <c r="B257" s="32"/>
      <c r="C257" s="32"/>
      <c r="D257" s="32"/>
      <c r="E257" s="32"/>
      <c r="F257" s="45"/>
      <c r="G257" s="45"/>
      <c r="H257" s="45"/>
      <c r="I257" s="32"/>
      <c r="J257" s="9"/>
      <c r="K257" s="9"/>
      <c r="L257" s="45"/>
      <c r="M257" s="45"/>
      <c r="N257" s="45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9"/>
      <c r="AF257" s="32"/>
      <c r="AG257" s="46"/>
      <c r="AH257" s="46"/>
      <c r="AI257" s="47"/>
      <c r="AJ257" s="47"/>
      <c r="AK257" s="46"/>
      <c r="AL257" s="9"/>
      <c r="AM257" s="32"/>
      <c r="AN257" s="42"/>
    </row>
    <row r="258" spans="1:40" x14ac:dyDescent="0.2">
      <c r="A258" s="60"/>
      <c r="B258" s="32"/>
      <c r="C258" s="32"/>
      <c r="D258" s="32"/>
      <c r="E258" s="32"/>
      <c r="F258" s="45"/>
      <c r="G258" s="45"/>
      <c r="H258" s="45"/>
      <c r="I258" s="32"/>
      <c r="J258" s="9"/>
      <c r="K258" s="9"/>
      <c r="L258" s="45"/>
      <c r="M258" s="45"/>
      <c r="N258" s="45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9"/>
      <c r="AF258" s="32"/>
      <c r="AG258" s="46"/>
      <c r="AH258" s="46"/>
      <c r="AI258" s="47"/>
      <c r="AJ258" s="47"/>
      <c r="AK258" s="46"/>
      <c r="AL258" s="9"/>
      <c r="AM258" s="32"/>
      <c r="AN258" s="42"/>
    </row>
    <row r="259" spans="1:40" x14ac:dyDescent="0.2">
      <c r="A259" s="60"/>
      <c r="B259" s="32"/>
      <c r="C259" s="32"/>
      <c r="D259" s="32"/>
      <c r="E259" s="32"/>
      <c r="F259" s="45"/>
      <c r="G259" s="45"/>
      <c r="H259" s="45"/>
      <c r="I259" s="32"/>
      <c r="J259" s="9"/>
      <c r="K259" s="9"/>
      <c r="L259" s="45"/>
      <c r="M259" s="45"/>
      <c r="N259" s="45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9"/>
      <c r="AF259" s="32"/>
      <c r="AG259" s="46"/>
      <c r="AH259" s="46"/>
      <c r="AI259" s="47"/>
      <c r="AJ259" s="47"/>
      <c r="AK259" s="46"/>
      <c r="AL259" s="9"/>
      <c r="AM259" s="32"/>
      <c r="AN259" s="42"/>
    </row>
    <row r="260" spans="1:40" x14ac:dyDescent="0.2">
      <c r="A260" s="60"/>
      <c r="B260" s="32"/>
      <c r="C260" s="32"/>
      <c r="D260" s="32"/>
      <c r="E260" s="32"/>
      <c r="F260" s="45"/>
      <c r="G260" s="45"/>
      <c r="H260" s="45"/>
      <c r="I260" s="32"/>
      <c r="J260" s="9"/>
      <c r="K260" s="9"/>
      <c r="L260" s="45"/>
      <c r="M260" s="45"/>
      <c r="N260" s="45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9"/>
      <c r="AF260" s="32"/>
      <c r="AG260" s="46"/>
      <c r="AH260" s="46"/>
      <c r="AI260" s="47"/>
      <c r="AJ260" s="47"/>
      <c r="AK260" s="46"/>
      <c r="AL260" s="9"/>
      <c r="AM260" s="32"/>
      <c r="AN260" s="42"/>
    </row>
    <row r="261" spans="1:40" x14ac:dyDescent="0.2">
      <c r="A261" s="60"/>
      <c r="B261" s="32"/>
      <c r="C261" s="32"/>
      <c r="D261" s="32"/>
      <c r="E261" s="32"/>
      <c r="F261" s="45"/>
      <c r="G261" s="45"/>
      <c r="H261" s="45"/>
      <c r="I261" s="32"/>
      <c r="J261" s="9"/>
      <c r="K261" s="9"/>
      <c r="L261" s="45"/>
      <c r="M261" s="45"/>
      <c r="N261" s="45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9"/>
      <c r="AF261" s="32"/>
      <c r="AG261" s="46"/>
      <c r="AH261" s="46"/>
      <c r="AI261" s="47"/>
      <c r="AJ261" s="47"/>
      <c r="AK261" s="46"/>
      <c r="AL261" s="9"/>
      <c r="AM261" s="32"/>
      <c r="AN261" s="42"/>
    </row>
    <row r="262" spans="1:40" x14ac:dyDescent="0.2">
      <c r="A262" s="60"/>
      <c r="B262" s="32"/>
      <c r="C262" s="32"/>
      <c r="D262" s="32"/>
      <c r="E262" s="32"/>
      <c r="F262" s="45"/>
      <c r="G262" s="45"/>
      <c r="H262" s="45"/>
      <c r="I262" s="32"/>
      <c r="J262" s="9"/>
      <c r="K262" s="9"/>
      <c r="L262" s="45"/>
      <c r="M262" s="45"/>
      <c r="N262" s="45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9"/>
      <c r="AF262" s="32"/>
      <c r="AG262" s="46"/>
      <c r="AH262" s="46"/>
      <c r="AI262" s="47"/>
      <c r="AJ262" s="47"/>
      <c r="AK262" s="46"/>
      <c r="AL262" s="9"/>
      <c r="AM262" s="32"/>
      <c r="AN262" s="42"/>
    </row>
    <row r="263" spans="1:40" x14ac:dyDescent="0.2">
      <c r="A263" s="60"/>
      <c r="B263" s="32"/>
      <c r="C263" s="32"/>
      <c r="D263" s="32"/>
      <c r="E263" s="32"/>
      <c r="F263" s="45"/>
      <c r="G263" s="45"/>
      <c r="H263" s="45"/>
      <c r="I263" s="32"/>
      <c r="J263" s="9"/>
      <c r="K263" s="9"/>
      <c r="L263" s="45"/>
      <c r="M263" s="45"/>
      <c r="N263" s="45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9"/>
      <c r="AF263" s="32"/>
      <c r="AG263" s="46"/>
      <c r="AH263" s="46"/>
      <c r="AI263" s="47"/>
      <c r="AJ263" s="47"/>
      <c r="AK263" s="46"/>
      <c r="AL263" s="9"/>
      <c r="AM263" s="32"/>
      <c r="AN263" s="42"/>
    </row>
    <row r="264" spans="1:40" x14ac:dyDescent="0.2">
      <c r="A264" s="60"/>
      <c r="B264" s="32"/>
      <c r="C264" s="32"/>
      <c r="D264" s="32"/>
      <c r="E264" s="32"/>
      <c r="F264" s="45"/>
      <c r="G264" s="45"/>
      <c r="H264" s="45"/>
      <c r="I264" s="32"/>
      <c r="J264" s="9"/>
      <c r="K264" s="9"/>
      <c r="L264" s="45"/>
      <c r="M264" s="45"/>
      <c r="N264" s="45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9"/>
      <c r="AF264" s="32"/>
      <c r="AG264" s="46"/>
      <c r="AH264" s="46"/>
      <c r="AI264" s="47"/>
      <c r="AJ264" s="47"/>
      <c r="AK264" s="46"/>
      <c r="AL264" s="9"/>
      <c r="AM264" s="32"/>
      <c r="AN264" s="42"/>
    </row>
    <row r="265" spans="1:40" x14ac:dyDescent="0.2">
      <c r="A265" s="60"/>
      <c r="B265" s="32"/>
      <c r="C265" s="32"/>
      <c r="D265" s="32"/>
      <c r="E265" s="32"/>
      <c r="F265" s="45"/>
      <c r="G265" s="45"/>
      <c r="H265" s="45"/>
      <c r="I265" s="32"/>
      <c r="J265" s="9"/>
      <c r="K265" s="9"/>
      <c r="L265" s="45"/>
      <c r="M265" s="45"/>
      <c r="N265" s="45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9"/>
      <c r="AF265" s="32"/>
      <c r="AG265" s="46"/>
      <c r="AH265" s="46"/>
      <c r="AI265" s="47"/>
      <c r="AJ265" s="47"/>
      <c r="AK265" s="46"/>
      <c r="AL265" s="9"/>
      <c r="AM265" s="32"/>
      <c r="AN265" s="42"/>
    </row>
    <row r="266" spans="1:40" x14ac:dyDescent="0.2">
      <c r="A266" s="60"/>
      <c r="B266" s="32"/>
      <c r="C266" s="32"/>
      <c r="D266" s="32"/>
      <c r="E266" s="32"/>
      <c r="F266" s="45"/>
      <c r="G266" s="45"/>
      <c r="H266" s="45"/>
      <c r="I266" s="32"/>
      <c r="J266" s="9"/>
      <c r="K266" s="9"/>
      <c r="L266" s="45"/>
      <c r="M266" s="45"/>
      <c r="N266" s="45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9"/>
      <c r="AF266" s="32"/>
      <c r="AG266" s="46"/>
      <c r="AH266" s="46"/>
      <c r="AI266" s="47"/>
      <c r="AJ266" s="47"/>
      <c r="AK266" s="46"/>
      <c r="AL266" s="9"/>
      <c r="AM266" s="32"/>
      <c r="AN266" s="42"/>
    </row>
    <row r="267" spans="1:40" x14ac:dyDescent="0.2">
      <c r="A267" s="60"/>
      <c r="B267" s="32"/>
      <c r="C267" s="32"/>
      <c r="D267" s="32"/>
      <c r="E267" s="32"/>
      <c r="F267" s="45"/>
      <c r="G267" s="45"/>
      <c r="H267" s="45"/>
      <c r="I267" s="32"/>
      <c r="J267" s="9"/>
      <c r="K267" s="9"/>
      <c r="L267" s="45"/>
      <c r="M267" s="45"/>
      <c r="N267" s="45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9"/>
      <c r="AF267" s="32"/>
      <c r="AG267" s="46"/>
      <c r="AH267" s="46"/>
      <c r="AI267" s="47"/>
      <c r="AJ267" s="47"/>
      <c r="AK267" s="46"/>
      <c r="AL267" s="9"/>
      <c r="AM267" s="32"/>
      <c r="AN267" s="42"/>
    </row>
    <row r="268" spans="1:40" x14ac:dyDescent="0.2">
      <c r="A268" s="60"/>
      <c r="B268" s="32"/>
      <c r="C268" s="32"/>
      <c r="D268" s="32"/>
      <c r="E268" s="32"/>
      <c r="F268" s="45"/>
      <c r="G268" s="45"/>
      <c r="H268" s="45"/>
      <c r="I268" s="32"/>
      <c r="J268" s="9"/>
      <c r="K268" s="9"/>
      <c r="L268" s="45"/>
      <c r="M268" s="45"/>
      <c r="N268" s="45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9"/>
      <c r="AF268" s="32"/>
      <c r="AG268" s="46"/>
      <c r="AH268" s="46"/>
      <c r="AI268" s="47"/>
      <c r="AJ268" s="47"/>
      <c r="AK268" s="46"/>
      <c r="AL268" s="9"/>
      <c r="AM268" s="32"/>
      <c r="AN268" s="42"/>
    </row>
    <row r="269" spans="1:40" x14ac:dyDescent="0.2">
      <c r="A269" s="60"/>
      <c r="B269" s="32"/>
      <c r="C269" s="32"/>
      <c r="D269" s="32"/>
      <c r="E269" s="32"/>
      <c r="F269" s="45"/>
      <c r="G269" s="45"/>
      <c r="H269" s="45"/>
      <c r="I269" s="32"/>
      <c r="J269" s="9"/>
      <c r="K269" s="9"/>
      <c r="L269" s="45"/>
      <c r="M269" s="45"/>
      <c r="N269" s="45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9"/>
      <c r="AF269" s="32"/>
      <c r="AG269" s="46"/>
      <c r="AH269" s="46"/>
      <c r="AI269" s="47"/>
      <c r="AJ269" s="47"/>
      <c r="AK269" s="46"/>
      <c r="AL269" s="9"/>
      <c r="AM269" s="32"/>
      <c r="AN269" s="42"/>
    </row>
    <row r="270" spans="1:40" x14ac:dyDescent="0.2">
      <c r="A270" s="60"/>
      <c r="B270" s="32"/>
      <c r="C270" s="32"/>
      <c r="D270" s="32"/>
      <c r="E270" s="32"/>
      <c r="F270" s="45"/>
      <c r="G270" s="45"/>
      <c r="H270" s="45"/>
      <c r="I270" s="32"/>
      <c r="J270" s="9"/>
      <c r="K270" s="9"/>
      <c r="L270" s="45"/>
      <c r="M270" s="45"/>
      <c r="N270" s="45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9"/>
      <c r="AF270" s="32"/>
      <c r="AG270" s="46"/>
      <c r="AH270" s="46"/>
      <c r="AI270" s="47"/>
      <c r="AJ270" s="47"/>
      <c r="AK270" s="46"/>
      <c r="AL270" s="9"/>
      <c r="AM270" s="32"/>
      <c r="AN270" s="42"/>
    </row>
    <row r="271" spans="1:40" x14ac:dyDescent="0.2">
      <c r="A271" s="60"/>
      <c r="B271" s="32"/>
      <c r="C271" s="32"/>
      <c r="D271" s="32"/>
      <c r="E271" s="32"/>
      <c r="F271" s="45"/>
      <c r="G271" s="45"/>
      <c r="H271" s="45"/>
      <c r="I271" s="32"/>
      <c r="J271" s="9"/>
      <c r="K271" s="9"/>
      <c r="L271" s="45"/>
      <c r="M271" s="45"/>
      <c r="N271" s="45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9"/>
      <c r="AF271" s="32"/>
      <c r="AG271" s="46"/>
      <c r="AH271" s="46"/>
      <c r="AI271" s="47"/>
      <c r="AJ271" s="47"/>
      <c r="AK271" s="46"/>
      <c r="AL271" s="9"/>
      <c r="AM271" s="32"/>
      <c r="AN271" s="42"/>
    </row>
    <row r="272" spans="1:40" x14ac:dyDescent="0.2">
      <c r="A272" s="60"/>
      <c r="B272" s="32"/>
      <c r="C272" s="32"/>
      <c r="D272" s="32"/>
      <c r="E272" s="32"/>
      <c r="F272" s="45"/>
      <c r="G272" s="45"/>
      <c r="H272" s="45"/>
      <c r="I272" s="32"/>
      <c r="J272" s="9"/>
      <c r="K272" s="9"/>
      <c r="L272" s="45"/>
      <c r="M272" s="45"/>
      <c r="N272" s="45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9"/>
      <c r="AF272" s="32"/>
      <c r="AG272" s="46"/>
      <c r="AH272" s="46"/>
      <c r="AI272" s="47"/>
      <c r="AJ272" s="47"/>
      <c r="AK272" s="46"/>
      <c r="AL272" s="9"/>
      <c r="AM272" s="32"/>
      <c r="AN272" s="42"/>
    </row>
    <row r="273" spans="1:40" x14ac:dyDescent="0.2">
      <c r="A273" s="60"/>
      <c r="B273" s="32"/>
      <c r="C273" s="32"/>
      <c r="D273" s="32"/>
      <c r="E273" s="32"/>
      <c r="F273" s="45"/>
      <c r="G273" s="45"/>
      <c r="H273" s="45"/>
      <c r="I273" s="32"/>
      <c r="J273" s="9"/>
      <c r="K273" s="9"/>
      <c r="L273" s="45"/>
      <c r="M273" s="45"/>
      <c r="N273" s="45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9"/>
      <c r="AF273" s="32"/>
      <c r="AG273" s="46"/>
      <c r="AH273" s="46"/>
      <c r="AI273" s="47"/>
      <c r="AJ273" s="47"/>
      <c r="AK273" s="46"/>
      <c r="AL273" s="9"/>
      <c r="AM273" s="32"/>
      <c r="AN273" s="42"/>
    </row>
    <row r="274" spans="1:40" x14ac:dyDescent="0.2">
      <c r="A274" s="60"/>
      <c r="B274" s="32"/>
      <c r="C274" s="32"/>
      <c r="D274" s="32"/>
      <c r="E274" s="32"/>
      <c r="F274" s="45"/>
      <c r="G274" s="45"/>
      <c r="H274" s="45"/>
      <c r="I274" s="32"/>
      <c r="J274" s="9"/>
      <c r="K274" s="9"/>
      <c r="L274" s="45"/>
      <c r="M274" s="45"/>
      <c r="N274" s="45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9"/>
      <c r="AF274" s="32"/>
      <c r="AG274" s="46"/>
      <c r="AH274" s="46"/>
      <c r="AI274" s="47"/>
      <c r="AJ274" s="47"/>
      <c r="AK274" s="46"/>
      <c r="AL274" s="9"/>
      <c r="AM274" s="32"/>
      <c r="AN274" s="42"/>
    </row>
    <row r="275" spans="1:40" x14ac:dyDescent="0.2">
      <c r="A275" s="60"/>
      <c r="B275" s="32"/>
      <c r="C275" s="32"/>
      <c r="D275" s="32"/>
      <c r="E275" s="32"/>
      <c r="F275" s="45"/>
      <c r="G275" s="45"/>
      <c r="H275" s="45"/>
      <c r="I275" s="32"/>
      <c r="J275" s="9"/>
      <c r="K275" s="9"/>
      <c r="L275" s="45"/>
      <c r="M275" s="45"/>
      <c r="N275" s="45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9"/>
      <c r="AF275" s="32"/>
      <c r="AG275" s="46"/>
      <c r="AH275" s="46"/>
      <c r="AI275" s="47"/>
      <c r="AJ275" s="47"/>
      <c r="AK275" s="46"/>
      <c r="AL275" s="9"/>
      <c r="AM275" s="32"/>
      <c r="AN275" s="42"/>
    </row>
    <row r="276" spans="1:40" x14ac:dyDescent="0.2">
      <c r="A276" s="60"/>
      <c r="B276" s="32"/>
      <c r="C276" s="32"/>
      <c r="D276" s="32"/>
      <c r="E276" s="32"/>
      <c r="F276" s="45"/>
      <c r="G276" s="45"/>
      <c r="H276" s="45"/>
      <c r="I276" s="32"/>
      <c r="J276" s="9"/>
      <c r="K276" s="9"/>
      <c r="L276" s="45"/>
      <c r="M276" s="45"/>
      <c r="N276" s="45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9"/>
      <c r="AF276" s="32"/>
      <c r="AG276" s="46"/>
      <c r="AH276" s="46"/>
      <c r="AI276" s="47"/>
      <c r="AJ276" s="47"/>
      <c r="AK276" s="46"/>
      <c r="AL276" s="9"/>
      <c r="AM276" s="32"/>
      <c r="AN276" s="42"/>
    </row>
    <row r="277" spans="1:40" x14ac:dyDescent="0.2">
      <c r="A277" s="60"/>
      <c r="B277" s="32"/>
      <c r="C277" s="32"/>
      <c r="D277" s="32"/>
      <c r="E277" s="32"/>
      <c r="F277" s="45"/>
      <c r="G277" s="45"/>
      <c r="H277" s="45"/>
      <c r="I277" s="32"/>
      <c r="J277" s="9"/>
      <c r="K277" s="9"/>
      <c r="L277" s="45"/>
      <c r="M277" s="45"/>
      <c r="N277" s="45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9"/>
      <c r="AF277" s="32"/>
      <c r="AG277" s="46"/>
      <c r="AH277" s="46"/>
      <c r="AI277" s="47"/>
      <c r="AJ277" s="47"/>
      <c r="AK277" s="46"/>
      <c r="AL277" s="9"/>
      <c r="AM277" s="32"/>
      <c r="AN277" s="42"/>
    </row>
    <row r="278" spans="1:40" x14ac:dyDescent="0.2">
      <c r="A278" s="60"/>
      <c r="B278" s="32"/>
      <c r="C278" s="32"/>
      <c r="D278" s="32"/>
      <c r="E278" s="32"/>
      <c r="F278" s="45"/>
      <c r="G278" s="45"/>
      <c r="H278" s="45"/>
      <c r="I278" s="32"/>
      <c r="J278" s="9"/>
      <c r="K278" s="9"/>
      <c r="L278" s="45"/>
      <c r="M278" s="45"/>
      <c r="N278" s="45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9"/>
      <c r="AF278" s="32"/>
      <c r="AG278" s="46"/>
      <c r="AH278" s="46"/>
      <c r="AI278" s="47"/>
      <c r="AJ278" s="47"/>
      <c r="AK278" s="46"/>
      <c r="AL278" s="9"/>
      <c r="AM278" s="32"/>
      <c r="AN278" s="42"/>
    </row>
    <row r="279" spans="1:40" x14ac:dyDescent="0.2">
      <c r="A279" s="60"/>
      <c r="B279" s="32"/>
      <c r="C279" s="32"/>
      <c r="D279" s="32"/>
      <c r="E279" s="32"/>
      <c r="F279" s="45"/>
      <c r="G279" s="45"/>
      <c r="H279" s="45"/>
      <c r="I279" s="32"/>
      <c r="J279" s="9"/>
      <c r="K279" s="9"/>
      <c r="L279" s="45"/>
      <c r="M279" s="45"/>
      <c r="N279" s="45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9"/>
      <c r="AF279" s="32"/>
      <c r="AG279" s="46"/>
      <c r="AH279" s="46"/>
      <c r="AI279" s="47"/>
      <c r="AJ279" s="47"/>
      <c r="AK279" s="46"/>
      <c r="AL279" s="9"/>
      <c r="AM279" s="32"/>
      <c r="AN279" s="42"/>
    </row>
    <row r="280" spans="1:40" x14ac:dyDescent="0.2">
      <c r="A280" s="60"/>
      <c r="B280" s="32"/>
      <c r="C280" s="32"/>
      <c r="D280" s="32"/>
      <c r="E280" s="32"/>
      <c r="F280" s="45"/>
      <c r="G280" s="45"/>
      <c r="H280" s="45"/>
      <c r="I280" s="32"/>
      <c r="J280" s="9"/>
      <c r="K280" s="9"/>
      <c r="L280" s="45"/>
      <c r="M280" s="45"/>
      <c r="N280" s="45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9"/>
      <c r="AF280" s="32"/>
      <c r="AG280" s="46"/>
      <c r="AH280" s="46"/>
      <c r="AI280" s="47"/>
      <c r="AJ280" s="47"/>
      <c r="AK280" s="46"/>
      <c r="AL280" s="9"/>
      <c r="AM280" s="32"/>
      <c r="AN280" s="42"/>
    </row>
    <row r="281" spans="1:40" x14ac:dyDescent="0.2">
      <c r="A281" s="60"/>
      <c r="B281" s="32"/>
      <c r="C281" s="32"/>
      <c r="D281" s="32"/>
      <c r="E281" s="32"/>
      <c r="F281" s="45"/>
      <c r="G281" s="45"/>
      <c r="H281" s="45"/>
      <c r="I281" s="32"/>
      <c r="J281" s="9"/>
      <c r="K281" s="9"/>
      <c r="L281" s="45"/>
      <c r="M281" s="45"/>
      <c r="N281" s="45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9"/>
      <c r="AF281" s="32"/>
      <c r="AG281" s="46"/>
      <c r="AH281" s="46"/>
      <c r="AI281" s="47"/>
      <c r="AJ281" s="47"/>
      <c r="AK281" s="46"/>
      <c r="AL281" s="9"/>
      <c r="AM281" s="32"/>
      <c r="AN281" s="42"/>
    </row>
    <row r="282" spans="1:40" x14ac:dyDescent="0.2">
      <c r="A282" s="60"/>
      <c r="B282" s="32"/>
      <c r="C282" s="32"/>
      <c r="D282" s="32"/>
      <c r="E282" s="32"/>
      <c r="F282" s="45"/>
      <c r="G282" s="45"/>
      <c r="H282" s="45"/>
      <c r="I282" s="32"/>
      <c r="J282" s="9"/>
      <c r="K282" s="9"/>
      <c r="L282" s="45"/>
      <c r="M282" s="45"/>
      <c r="N282" s="45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9"/>
      <c r="AF282" s="32"/>
      <c r="AG282" s="46"/>
      <c r="AH282" s="46"/>
      <c r="AI282" s="47"/>
      <c r="AJ282" s="47"/>
      <c r="AK282" s="46"/>
      <c r="AL282" s="9"/>
      <c r="AM282" s="32"/>
      <c r="AN282" s="42"/>
    </row>
    <row r="283" spans="1:40" x14ac:dyDescent="0.2">
      <c r="A283" s="60"/>
      <c r="B283" s="32"/>
      <c r="C283" s="32"/>
      <c r="D283" s="32"/>
      <c r="E283" s="32"/>
      <c r="F283" s="45"/>
      <c r="G283" s="45"/>
      <c r="H283" s="45"/>
      <c r="I283" s="32"/>
      <c r="J283" s="9"/>
      <c r="K283" s="9"/>
      <c r="L283" s="45"/>
      <c r="M283" s="45"/>
      <c r="N283" s="45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9"/>
      <c r="AF283" s="32"/>
      <c r="AG283" s="46"/>
      <c r="AH283" s="46"/>
      <c r="AI283" s="47"/>
      <c r="AJ283" s="47"/>
      <c r="AK283" s="46"/>
      <c r="AL283" s="9"/>
      <c r="AM283" s="32"/>
      <c r="AN283" s="42"/>
    </row>
    <row r="284" spans="1:40" x14ac:dyDescent="0.2">
      <c r="A284" s="60"/>
      <c r="B284" s="32"/>
      <c r="C284" s="32"/>
      <c r="D284" s="32"/>
      <c r="E284" s="32"/>
      <c r="F284" s="45"/>
      <c r="G284" s="45"/>
      <c r="H284" s="45"/>
      <c r="I284" s="32"/>
      <c r="J284" s="9"/>
      <c r="K284" s="9"/>
      <c r="L284" s="45"/>
      <c r="M284" s="45"/>
      <c r="N284" s="45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9"/>
      <c r="AF284" s="32"/>
      <c r="AG284" s="46"/>
      <c r="AH284" s="46"/>
      <c r="AI284" s="47"/>
      <c r="AJ284" s="47"/>
      <c r="AK284" s="46"/>
      <c r="AL284" s="9"/>
      <c r="AM284" s="32"/>
      <c r="AN284" s="42"/>
    </row>
    <row r="285" spans="1:40" x14ac:dyDescent="0.2">
      <c r="A285" s="60"/>
      <c r="B285" s="32"/>
      <c r="C285" s="32"/>
      <c r="D285" s="32"/>
      <c r="E285" s="32"/>
      <c r="F285" s="45"/>
      <c r="G285" s="45"/>
      <c r="H285" s="45"/>
      <c r="I285" s="32"/>
      <c r="J285" s="9"/>
      <c r="K285" s="9"/>
      <c r="L285" s="45"/>
      <c r="M285" s="45"/>
      <c r="N285" s="45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9"/>
      <c r="AF285" s="32"/>
      <c r="AG285" s="46"/>
      <c r="AH285" s="46"/>
      <c r="AI285" s="47"/>
      <c r="AJ285" s="47"/>
      <c r="AK285" s="46"/>
      <c r="AL285" s="9"/>
      <c r="AM285" s="32"/>
      <c r="AN285" s="42"/>
    </row>
    <row r="286" spans="1:40" x14ac:dyDescent="0.2">
      <c r="A286" s="60"/>
      <c r="B286" s="32"/>
      <c r="C286" s="32"/>
      <c r="D286" s="32"/>
      <c r="E286" s="32"/>
      <c r="F286" s="45"/>
      <c r="G286" s="45"/>
      <c r="H286" s="45"/>
      <c r="I286" s="32"/>
      <c r="J286" s="9"/>
      <c r="K286" s="9"/>
      <c r="L286" s="45"/>
      <c r="M286" s="45"/>
      <c r="N286" s="45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9"/>
      <c r="AF286" s="32"/>
      <c r="AG286" s="46"/>
      <c r="AH286" s="46"/>
      <c r="AI286" s="47"/>
      <c r="AJ286" s="47"/>
      <c r="AK286" s="46"/>
      <c r="AL286" s="9"/>
      <c r="AM286" s="32"/>
      <c r="AN286" s="42"/>
    </row>
    <row r="287" spans="1:40" x14ac:dyDescent="0.2">
      <c r="A287" s="60"/>
      <c r="B287" s="32"/>
      <c r="C287" s="32"/>
      <c r="D287" s="32"/>
      <c r="E287" s="32"/>
      <c r="F287" s="45"/>
      <c r="G287" s="45"/>
      <c r="H287" s="45"/>
      <c r="I287" s="32"/>
      <c r="J287" s="9"/>
      <c r="K287" s="9"/>
      <c r="L287" s="45"/>
      <c r="M287" s="45"/>
      <c r="N287" s="45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9"/>
      <c r="AF287" s="32"/>
      <c r="AG287" s="46"/>
      <c r="AH287" s="46"/>
      <c r="AI287" s="47"/>
      <c r="AJ287" s="47"/>
      <c r="AK287" s="46"/>
      <c r="AL287" s="9"/>
      <c r="AM287" s="32"/>
      <c r="AN287" s="42"/>
    </row>
    <row r="288" spans="1:40" x14ac:dyDescent="0.2">
      <c r="A288" s="60"/>
      <c r="B288" s="32"/>
      <c r="C288" s="32"/>
      <c r="D288" s="32"/>
      <c r="E288" s="32"/>
      <c r="F288" s="45"/>
      <c r="G288" s="45"/>
      <c r="H288" s="45"/>
      <c r="I288" s="32"/>
      <c r="J288" s="9"/>
      <c r="K288" s="9"/>
      <c r="L288" s="45"/>
      <c r="M288" s="45"/>
      <c r="N288" s="45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9"/>
      <c r="AF288" s="32"/>
      <c r="AG288" s="46"/>
      <c r="AH288" s="46"/>
      <c r="AI288" s="47"/>
      <c r="AJ288" s="47"/>
      <c r="AK288" s="46"/>
      <c r="AL288" s="9"/>
      <c r="AM288" s="32"/>
      <c r="AN288" s="42"/>
    </row>
    <row r="289" spans="1:40" x14ac:dyDescent="0.2">
      <c r="A289" s="60"/>
      <c r="B289" s="32"/>
      <c r="C289" s="32"/>
      <c r="D289" s="32"/>
      <c r="E289" s="32"/>
      <c r="F289" s="45"/>
      <c r="G289" s="45"/>
      <c r="H289" s="45"/>
      <c r="I289" s="32"/>
      <c r="J289" s="9"/>
      <c r="K289" s="9"/>
      <c r="L289" s="45"/>
      <c r="M289" s="45"/>
      <c r="N289" s="45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9"/>
      <c r="AF289" s="32"/>
      <c r="AG289" s="46"/>
      <c r="AH289" s="46"/>
      <c r="AI289" s="47"/>
      <c r="AJ289" s="47"/>
      <c r="AK289" s="46"/>
      <c r="AL289" s="9"/>
      <c r="AM289" s="32"/>
      <c r="AN289" s="42"/>
    </row>
    <row r="290" spans="1:40" x14ac:dyDescent="0.2">
      <c r="A290" s="60"/>
      <c r="B290" s="32"/>
      <c r="C290" s="32"/>
      <c r="D290" s="32"/>
      <c r="E290" s="32"/>
      <c r="F290" s="45"/>
      <c r="G290" s="45"/>
      <c r="H290" s="45"/>
      <c r="I290" s="32"/>
      <c r="J290" s="9"/>
      <c r="K290" s="9"/>
      <c r="L290" s="45"/>
      <c r="M290" s="45"/>
      <c r="N290" s="45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9"/>
      <c r="AF290" s="32"/>
      <c r="AG290" s="46"/>
      <c r="AH290" s="46"/>
      <c r="AI290" s="47"/>
      <c r="AJ290" s="47"/>
      <c r="AK290" s="46"/>
      <c r="AL290" s="9"/>
      <c r="AM290" s="32"/>
      <c r="AN290" s="42"/>
    </row>
    <row r="291" spans="1:40" x14ac:dyDescent="0.2">
      <c r="A291" s="60"/>
      <c r="B291" s="32"/>
      <c r="C291" s="32"/>
      <c r="D291" s="32"/>
      <c r="E291" s="32"/>
      <c r="F291" s="45"/>
      <c r="G291" s="45"/>
      <c r="H291" s="45"/>
      <c r="I291" s="32"/>
      <c r="J291" s="9"/>
      <c r="K291" s="9"/>
      <c r="L291" s="45"/>
      <c r="M291" s="45"/>
      <c r="N291" s="45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9"/>
      <c r="AF291" s="32"/>
      <c r="AG291" s="46"/>
      <c r="AH291" s="46"/>
      <c r="AI291" s="47"/>
      <c r="AJ291" s="47"/>
      <c r="AK291" s="46"/>
      <c r="AL291" s="9"/>
      <c r="AM291" s="32"/>
      <c r="AN291" s="42"/>
    </row>
    <row r="292" spans="1:40" x14ac:dyDescent="0.2">
      <c r="A292" s="60"/>
      <c r="B292" s="32"/>
      <c r="C292" s="32"/>
      <c r="D292" s="32"/>
      <c r="E292" s="32"/>
      <c r="F292" s="45"/>
      <c r="G292" s="45"/>
      <c r="H292" s="45"/>
      <c r="I292" s="32"/>
      <c r="J292" s="9"/>
      <c r="K292" s="9"/>
      <c r="L292" s="45"/>
      <c r="M292" s="45"/>
      <c r="N292" s="45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9"/>
      <c r="AF292" s="32"/>
      <c r="AG292" s="46"/>
      <c r="AH292" s="46"/>
      <c r="AI292" s="47"/>
      <c r="AJ292" s="47"/>
      <c r="AK292" s="46"/>
      <c r="AL292" s="9"/>
      <c r="AM292" s="32"/>
      <c r="AN292" s="42"/>
    </row>
    <row r="293" spans="1:40" x14ac:dyDescent="0.2">
      <c r="A293" s="60"/>
      <c r="B293" s="32"/>
      <c r="C293" s="32"/>
      <c r="D293" s="32"/>
      <c r="E293" s="32"/>
      <c r="F293" s="45"/>
      <c r="G293" s="45"/>
      <c r="H293" s="45"/>
      <c r="I293" s="32"/>
      <c r="J293" s="9"/>
      <c r="K293" s="9"/>
      <c r="L293" s="45"/>
      <c r="M293" s="45"/>
      <c r="N293" s="45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9"/>
      <c r="AF293" s="32"/>
      <c r="AG293" s="46"/>
      <c r="AH293" s="46"/>
      <c r="AI293" s="47"/>
      <c r="AJ293" s="47"/>
      <c r="AK293" s="46"/>
      <c r="AL293" s="9"/>
      <c r="AM293" s="32"/>
      <c r="AN293" s="42"/>
    </row>
    <row r="294" spans="1:40" x14ac:dyDescent="0.2">
      <c r="A294" s="60"/>
      <c r="B294" s="32"/>
      <c r="C294" s="32"/>
      <c r="D294" s="32"/>
      <c r="E294" s="32"/>
      <c r="F294" s="45"/>
      <c r="G294" s="45"/>
      <c r="H294" s="45"/>
      <c r="I294" s="32"/>
      <c r="J294" s="9"/>
      <c r="K294" s="9"/>
      <c r="L294" s="45"/>
      <c r="M294" s="45"/>
      <c r="N294" s="45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9"/>
      <c r="AF294" s="32"/>
      <c r="AG294" s="46"/>
      <c r="AH294" s="46"/>
      <c r="AI294" s="47"/>
      <c r="AJ294" s="47"/>
      <c r="AK294" s="46"/>
      <c r="AL294" s="9"/>
      <c r="AM294" s="32"/>
      <c r="AN294" s="42"/>
    </row>
    <row r="295" spans="1:40" x14ac:dyDescent="0.2">
      <c r="A295" s="60"/>
      <c r="B295" s="32"/>
      <c r="C295" s="32"/>
      <c r="D295" s="32"/>
      <c r="E295" s="32"/>
      <c r="F295" s="45"/>
      <c r="G295" s="45"/>
      <c r="H295" s="45"/>
      <c r="I295" s="32"/>
      <c r="J295" s="9"/>
      <c r="K295" s="9"/>
      <c r="L295" s="45"/>
      <c r="M295" s="45"/>
      <c r="N295" s="45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9"/>
      <c r="AF295" s="32"/>
      <c r="AG295" s="46"/>
      <c r="AH295" s="46"/>
      <c r="AI295" s="47"/>
      <c r="AJ295" s="47"/>
      <c r="AK295" s="46"/>
      <c r="AL295" s="9"/>
      <c r="AM295" s="32"/>
      <c r="AN295" s="42"/>
    </row>
    <row r="296" spans="1:40" x14ac:dyDescent="0.2">
      <c r="A296" s="60"/>
      <c r="B296" s="32"/>
      <c r="C296" s="32"/>
      <c r="D296" s="32"/>
      <c r="E296" s="32"/>
      <c r="F296" s="45"/>
      <c r="G296" s="45"/>
      <c r="H296" s="45"/>
      <c r="I296" s="32"/>
      <c r="J296" s="9"/>
      <c r="K296" s="9"/>
      <c r="L296" s="45"/>
      <c r="M296" s="45"/>
      <c r="N296" s="45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9"/>
      <c r="AF296" s="32"/>
      <c r="AG296" s="46"/>
      <c r="AH296" s="46"/>
      <c r="AI296" s="47"/>
      <c r="AJ296" s="47"/>
      <c r="AK296" s="46"/>
      <c r="AL296" s="9"/>
      <c r="AM296" s="32"/>
      <c r="AN296" s="42"/>
    </row>
    <row r="297" spans="1:40" x14ac:dyDescent="0.2">
      <c r="A297" s="60"/>
      <c r="B297" s="32"/>
      <c r="C297" s="32"/>
      <c r="D297" s="32"/>
      <c r="E297" s="32"/>
      <c r="F297" s="45"/>
      <c r="G297" s="45"/>
      <c r="H297" s="45"/>
      <c r="I297" s="32"/>
      <c r="J297" s="9"/>
      <c r="K297" s="9"/>
      <c r="L297" s="45"/>
      <c r="M297" s="45"/>
      <c r="N297" s="45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9"/>
      <c r="AF297" s="32"/>
      <c r="AG297" s="46"/>
      <c r="AH297" s="46"/>
      <c r="AI297" s="47"/>
      <c r="AJ297" s="47"/>
      <c r="AK297" s="46"/>
      <c r="AL297" s="9"/>
      <c r="AM297" s="32"/>
      <c r="AN297" s="42"/>
    </row>
    <row r="298" spans="1:40" x14ac:dyDescent="0.2">
      <c r="A298" s="60"/>
      <c r="B298" s="32"/>
      <c r="C298" s="32"/>
      <c r="D298" s="32"/>
      <c r="E298" s="32"/>
      <c r="F298" s="45"/>
      <c r="G298" s="45"/>
      <c r="H298" s="45"/>
      <c r="I298" s="32"/>
      <c r="J298" s="9"/>
      <c r="K298" s="9"/>
      <c r="L298" s="45"/>
      <c r="M298" s="45"/>
      <c r="N298" s="45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9"/>
      <c r="AF298" s="32"/>
      <c r="AG298" s="46"/>
      <c r="AH298" s="46"/>
      <c r="AI298" s="47"/>
      <c r="AJ298" s="47"/>
      <c r="AK298" s="46"/>
      <c r="AL298" s="9"/>
      <c r="AM298" s="32"/>
      <c r="AN298" s="42"/>
    </row>
    <row r="299" spans="1:40" x14ac:dyDescent="0.2">
      <c r="A299" s="60"/>
      <c r="B299" s="32"/>
      <c r="C299" s="32"/>
      <c r="D299" s="32"/>
      <c r="E299" s="32"/>
      <c r="F299" s="45"/>
      <c r="G299" s="45"/>
      <c r="H299" s="45"/>
      <c r="I299" s="32"/>
      <c r="J299" s="9"/>
      <c r="K299" s="9"/>
      <c r="L299" s="45"/>
      <c r="M299" s="45"/>
      <c r="N299" s="45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9"/>
      <c r="AF299" s="32"/>
      <c r="AG299" s="46"/>
      <c r="AH299" s="46"/>
      <c r="AI299" s="47"/>
      <c r="AJ299" s="47"/>
      <c r="AK299" s="46"/>
      <c r="AL299" s="9"/>
      <c r="AM299" s="32"/>
      <c r="AN299" s="42"/>
    </row>
    <row r="300" spans="1:40" x14ac:dyDescent="0.2">
      <c r="A300" s="60"/>
      <c r="B300" s="32"/>
      <c r="C300" s="32"/>
      <c r="D300" s="32"/>
      <c r="E300" s="32"/>
      <c r="F300" s="45"/>
      <c r="G300" s="45"/>
      <c r="H300" s="45"/>
      <c r="I300" s="32"/>
      <c r="J300" s="9"/>
      <c r="K300" s="9"/>
      <c r="L300" s="45"/>
      <c r="M300" s="45"/>
      <c r="N300" s="45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9"/>
      <c r="AF300" s="32"/>
      <c r="AG300" s="46"/>
      <c r="AH300" s="46"/>
      <c r="AI300" s="47"/>
      <c r="AJ300" s="47"/>
      <c r="AK300" s="46"/>
      <c r="AL300" s="9"/>
      <c r="AM300" s="32"/>
      <c r="AN300" s="42"/>
    </row>
    <row r="301" spans="1:40" x14ac:dyDescent="0.2">
      <c r="A301" s="60"/>
      <c r="B301" s="32"/>
      <c r="C301" s="32"/>
      <c r="D301" s="32"/>
      <c r="E301" s="32"/>
      <c r="F301" s="45"/>
      <c r="G301" s="45"/>
      <c r="H301" s="45"/>
      <c r="I301" s="32"/>
      <c r="J301" s="9"/>
      <c r="K301" s="9"/>
      <c r="L301" s="45"/>
      <c r="M301" s="45"/>
      <c r="N301" s="45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9"/>
      <c r="AF301" s="32"/>
      <c r="AG301" s="46"/>
      <c r="AH301" s="46"/>
      <c r="AI301" s="47"/>
      <c r="AJ301" s="47"/>
      <c r="AK301" s="46"/>
      <c r="AL301" s="9"/>
      <c r="AM301" s="32"/>
      <c r="AN301" s="42"/>
    </row>
    <row r="302" spans="1:40" x14ac:dyDescent="0.2">
      <c r="A302" s="60"/>
      <c r="B302" s="32"/>
      <c r="C302" s="32"/>
      <c r="D302" s="32"/>
      <c r="E302" s="32"/>
      <c r="F302" s="45"/>
      <c r="G302" s="45"/>
      <c r="H302" s="45"/>
      <c r="I302" s="32"/>
      <c r="J302" s="9"/>
      <c r="K302" s="9"/>
      <c r="L302" s="45"/>
      <c r="M302" s="45"/>
      <c r="N302" s="45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9"/>
      <c r="AF302" s="32"/>
      <c r="AG302" s="46"/>
      <c r="AH302" s="46"/>
      <c r="AI302" s="47"/>
      <c r="AJ302" s="47"/>
      <c r="AK302" s="46"/>
      <c r="AL302" s="9"/>
      <c r="AM302" s="32"/>
      <c r="AN302" s="42"/>
    </row>
    <row r="303" spans="1:40" x14ac:dyDescent="0.2">
      <c r="A303" s="60"/>
      <c r="B303" s="32"/>
      <c r="C303" s="32"/>
      <c r="D303" s="32"/>
      <c r="E303" s="32"/>
      <c r="F303" s="45"/>
      <c r="G303" s="45"/>
      <c r="H303" s="45"/>
      <c r="I303" s="32"/>
      <c r="J303" s="9"/>
      <c r="K303" s="9"/>
      <c r="L303" s="45"/>
      <c r="M303" s="45"/>
      <c r="N303" s="45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9"/>
      <c r="AF303" s="32"/>
      <c r="AG303" s="46"/>
      <c r="AH303" s="46"/>
      <c r="AI303" s="47"/>
      <c r="AJ303" s="47"/>
      <c r="AK303" s="46"/>
      <c r="AL303" s="9"/>
      <c r="AM303" s="32"/>
      <c r="AN303" s="42"/>
    </row>
    <row r="304" spans="1:40" x14ac:dyDescent="0.2">
      <c r="A304" s="60"/>
      <c r="B304" s="32"/>
      <c r="C304" s="32"/>
      <c r="D304" s="32"/>
      <c r="E304" s="32"/>
      <c r="F304" s="45"/>
      <c r="G304" s="45"/>
      <c r="H304" s="45"/>
      <c r="I304" s="32"/>
      <c r="J304" s="9"/>
      <c r="K304" s="9"/>
      <c r="L304" s="45"/>
      <c r="M304" s="45"/>
      <c r="N304" s="45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9"/>
      <c r="AF304" s="32"/>
      <c r="AG304" s="46"/>
      <c r="AH304" s="46"/>
      <c r="AI304" s="47"/>
      <c r="AJ304" s="47"/>
      <c r="AK304" s="46"/>
      <c r="AL304" s="9"/>
      <c r="AM304" s="32"/>
      <c r="AN304" s="42"/>
    </row>
    <row r="305" spans="1:40" x14ac:dyDescent="0.2">
      <c r="A305" s="60"/>
      <c r="B305" s="32"/>
      <c r="C305" s="32"/>
      <c r="D305" s="32"/>
      <c r="E305" s="32"/>
      <c r="F305" s="45"/>
      <c r="G305" s="45"/>
      <c r="H305" s="45"/>
      <c r="I305" s="32"/>
      <c r="J305" s="9"/>
      <c r="K305" s="9"/>
      <c r="L305" s="45"/>
      <c r="M305" s="45"/>
      <c r="N305" s="45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9"/>
      <c r="AF305" s="32"/>
      <c r="AG305" s="46"/>
      <c r="AH305" s="46"/>
      <c r="AI305" s="47"/>
      <c r="AJ305" s="47"/>
      <c r="AK305" s="46"/>
      <c r="AL305" s="9"/>
      <c r="AM305" s="32"/>
      <c r="AN305" s="42"/>
    </row>
    <row r="306" spans="1:40" x14ac:dyDescent="0.2">
      <c r="A306" s="60"/>
      <c r="B306" s="32"/>
      <c r="C306" s="32"/>
      <c r="D306" s="32"/>
      <c r="E306" s="32"/>
      <c r="F306" s="45"/>
      <c r="G306" s="45"/>
      <c r="H306" s="45"/>
      <c r="I306" s="32"/>
      <c r="J306" s="9"/>
      <c r="K306" s="9"/>
      <c r="L306" s="45"/>
      <c r="M306" s="45"/>
      <c r="N306" s="45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9"/>
      <c r="AF306" s="32"/>
      <c r="AG306" s="46"/>
      <c r="AH306" s="46"/>
      <c r="AI306" s="47"/>
      <c r="AJ306" s="47"/>
      <c r="AK306" s="46"/>
      <c r="AL306" s="9"/>
      <c r="AM306" s="32"/>
      <c r="AN306" s="42"/>
    </row>
    <row r="307" spans="1:40" x14ac:dyDescent="0.2">
      <c r="A307" s="60"/>
      <c r="B307" s="32"/>
      <c r="C307" s="32"/>
      <c r="D307" s="32"/>
      <c r="E307" s="32"/>
      <c r="F307" s="45"/>
      <c r="G307" s="45"/>
      <c r="H307" s="45"/>
      <c r="I307" s="32"/>
      <c r="J307" s="9"/>
      <c r="K307" s="9"/>
      <c r="L307" s="45"/>
      <c r="M307" s="45"/>
      <c r="N307" s="45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9"/>
      <c r="AF307" s="32"/>
      <c r="AG307" s="46"/>
      <c r="AH307" s="46"/>
      <c r="AI307" s="47"/>
      <c r="AJ307" s="47"/>
      <c r="AK307" s="46"/>
      <c r="AL307" s="9"/>
      <c r="AM307" s="32"/>
      <c r="AN307" s="42"/>
    </row>
    <row r="308" spans="1:40" x14ac:dyDescent="0.2">
      <c r="A308" s="60"/>
      <c r="B308" s="32"/>
      <c r="C308" s="32"/>
      <c r="D308" s="32"/>
      <c r="E308" s="32"/>
      <c r="F308" s="45"/>
      <c r="G308" s="45"/>
      <c r="H308" s="45"/>
      <c r="I308" s="32"/>
      <c r="J308" s="9"/>
      <c r="K308" s="9"/>
      <c r="L308" s="45"/>
      <c r="M308" s="45"/>
      <c r="N308" s="45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9"/>
      <c r="AF308" s="32"/>
      <c r="AG308" s="46"/>
      <c r="AH308" s="46"/>
      <c r="AI308" s="47"/>
      <c r="AJ308" s="47"/>
      <c r="AK308" s="46"/>
      <c r="AL308" s="9"/>
      <c r="AM308" s="32"/>
      <c r="AN308" s="42"/>
    </row>
    <row r="309" spans="1:40" x14ac:dyDescent="0.2">
      <c r="A309" s="60"/>
      <c r="B309" s="32"/>
      <c r="C309" s="32"/>
      <c r="D309" s="32"/>
      <c r="E309" s="32"/>
      <c r="F309" s="45"/>
      <c r="G309" s="45"/>
      <c r="H309" s="45"/>
      <c r="I309" s="32"/>
      <c r="J309" s="9"/>
      <c r="K309" s="9"/>
      <c r="L309" s="45"/>
      <c r="M309" s="45"/>
      <c r="N309" s="45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9"/>
      <c r="AF309" s="32"/>
      <c r="AG309" s="46"/>
      <c r="AH309" s="46"/>
      <c r="AI309" s="47"/>
      <c r="AJ309" s="47"/>
      <c r="AK309" s="46"/>
      <c r="AL309" s="9"/>
      <c r="AM309" s="32"/>
      <c r="AN309" s="42"/>
    </row>
    <row r="310" spans="1:40" x14ac:dyDescent="0.2">
      <c r="A310" s="60"/>
      <c r="B310" s="32"/>
      <c r="C310" s="32"/>
      <c r="D310" s="32"/>
      <c r="E310" s="32"/>
      <c r="F310" s="45"/>
      <c r="G310" s="45"/>
      <c r="H310" s="45"/>
      <c r="I310" s="32"/>
      <c r="J310" s="9"/>
      <c r="K310" s="9"/>
      <c r="L310" s="45"/>
      <c r="M310" s="45"/>
      <c r="N310" s="45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9"/>
      <c r="AF310" s="32"/>
      <c r="AG310" s="46"/>
      <c r="AH310" s="46"/>
      <c r="AI310" s="47"/>
      <c r="AJ310" s="47"/>
      <c r="AK310" s="46"/>
      <c r="AL310" s="9"/>
      <c r="AM310" s="32"/>
      <c r="AN310" s="42"/>
    </row>
    <row r="311" spans="1:40" x14ac:dyDescent="0.2">
      <c r="A311" s="60"/>
      <c r="B311" s="32"/>
      <c r="C311" s="32"/>
      <c r="D311" s="32"/>
      <c r="E311" s="32"/>
      <c r="F311" s="45"/>
      <c r="G311" s="45"/>
      <c r="H311" s="45"/>
      <c r="I311" s="32"/>
      <c r="J311" s="9"/>
      <c r="K311" s="9"/>
      <c r="L311" s="45"/>
      <c r="M311" s="45"/>
      <c r="N311" s="45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9"/>
      <c r="AF311" s="32"/>
      <c r="AG311" s="46"/>
      <c r="AH311" s="46"/>
      <c r="AI311" s="47"/>
      <c r="AJ311" s="47"/>
      <c r="AK311" s="46"/>
      <c r="AL311" s="9"/>
      <c r="AM311" s="32"/>
      <c r="AN311" s="42"/>
    </row>
    <row r="312" spans="1:40" x14ac:dyDescent="0.2">
      <c r="A312" s="60"/>
      <c r="B312" s="32"/>
      <c r="C312" s="32"/>
      <c r="D312" s="32"/>
      <c r="E312" s="32"/>
      <c r="F312" s="45"/>
      <c r="G312" s="45"/>
      <c r="H312" s="45"/>
      <c r="I312" s="32"/>
      <c r="J312" s="9"/>
      <c r="K312" s="9"/>
      <c r="L312" s="45"/>
      <c r="M312" s="45"/>
      <c r="N312" s="45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9"/>
      <c r="AF312" s="32"/>
      <c r="AG312" s="46"/>
      <c r="AH312" s="46"/>
      <c r="AI312" s="47"/>
      <c r="AJ312" s="47"/>
      <c r="AK312" s="46"/>
      <c r="AL312" s="9"/>
      <c r="AM312" s="32"/>
      <c r="AN312" s="42"/>
    </row>
    <row r="313" spans="1:40" x14ac:dyDescent="0.2">
      <c r="A313" s="60"/>
      <c r="B313" s="32"/>
      <c r="C313" s="32"/>
      <c r="D313" s="32"/>
      <c r="E313" s="32"/>
      <c r="F313" s="45"/>
      <c r="G313" s="45"/>
      <c r="H313" s="45"/>
      <c r="I313" s="32"/>
      <c r="J313" s="9"/>
      <c r="K313" s="9"/>
      <c r="L313" s="45"/>
      <c r="M313" s="45"/>
      <c r="N313" s="45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9"/>
      <c r="AF313" s="32"/>
      <c r="AG313" s="46"/>
      <c r="AH313" s="46"/>
      <c r="AI313" s="47"/>
      <c r="AJ313" s="47"/>
      <c r="AK313" s="46"/>
      <c r="AL313" s="9"/>
      <c r="AM313" s="32"/>
      <c r="AN313" s="42"/>
    </row>
    <row r="314" spans="1:40" x14ac:dyDescent="0.2">
      <c r="A314" s="60"/>
      <c r="B314" s="32"/>
      <c r="C314" s="32"/>
      <c r="D314" s="32"/>
      <c r="E314" s="32"/>
      <c r="F314" s="45"/>
      <c r="G314" s="45"/>
      <c r="H314" s="45"/>
      <c r="I314" s="32"/>
      <c r="J314" s="9"/>
      <c r="K314" s="9"/>
      <c r="L314" s="45"/>
      <c r="M314" s="45"/>
      <c r="N314" s="45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9"/>
      <c r="AF314" s="32"/>
      <c r="AG314" s="46"/>
      <c r="AH314" s="46"/>
      <c r="AI314" s="47"/>
      <c r="AJ314" s="47"/>
      <c r="AK314" s="46"/>
      <c r="AL314" s="9"/>
      <c r="AM314" s="32"/>
      <c r="AN314" s="42"/>
    </row>
    <row r="315" spans="1:40" x14ac:dyDescent="0.2">
      <c r="A315" s="60"/>
      <c r="B315" s="32"/>
      <c r="C315" s="32"/>
      <c r="D315" s="32"/>
      <c r="E315" s="32"/>
      <c r="F315" s="45"/>
      <c r="G315" s="45"/>
      <c r="H315" s="45"/>
      <c r="I315" s="32"/>
      <c r="J315" s="9"/>
      <c r="K315" s="9"/>
      <c r="L315" s="45"/>
      <c r="M315" s="45"/>
      <c r="N315" s="45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9"/>
      <c r="AF315" s="32"/>
      <c r="AG315" s="46"/>
      <c r="AH315" s="46"/>
      <c r="AI315" s="47"/>
      <c r="AJ315" s="47"/>
      <c r="AK315" s="46"/>
      <c r="AL315" s="9"/>
      <c r="AM315" s="32"/>
      <c r="AN315" s="42"/>
    </row>
    <row r="316" spans="1:40" x14ac:dyDescent="0.2">
      <c r="A316" s="60"/>
      <c r="B316" s="32"/>
      <c r="C316" s="32"/>
      <c r="D316" s="32"/>
      <c r="E316" s="32"/>
      <c r="F316" s="45"/>
      <c r="G316" s="45"/>
      <c r="H316" s="45"/>
      <c r="I316" s="32"/>
      <c r="J316" s="9"/>
      <c r="K316" s="9"/>
      <c r="L316" s="45"/>
      <c r="M316" s="45"/>
      <c r="N316" s="45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9"/>
      <c r="AF316" s="32"/>
      <c r="AG316" s="46"/>
      <c r="AH316" s="46"/>
      <c r="AI316" s="47"/>
      <c r="AJ316" s="47"/>
      <c r="AK316" s="46"/>
      <c r="AL316" s="9"/>
      <c r="AM316" s="32"/>
      <c r="AN316" s="42"/>
    </row>
    <row r="317" spans="1:40" x14ac:dyDescent="0.2">
      <c r="A317" s="60"/>
      <c r="B317" s="32"/>
      <c r="C317" s="32"/>
      <c r="D317" s="32"/>
      <c r="E317" s="32"/>
      <c r="F317" s="45"/>
      <c r="G317" s="45"/>
      <c r="H317" s="45"/>
      <c r="I317" s="32"/>
      <c r="J317" s="9"/>
      <c r="K317" s="9"/>
      <c r="L317" s="45"/>
      <c r="M317" s="45"/>
      <c r="N317" s="45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9"/>
      <c r="AF317" s="32"/>
      <c r="AG317" s="46"/>
      <c r="AH317" s="46"/>
      <c r="AI317" s="47"/>
      <c r="AJ317" s="47"/>
      <c r="AK317" s="46"/>
      <c r="AL317" s="9"/>
      <c r="AM317" s="32"/>
      <c r="AN317" s="42"/>
    </row>
    <row r="318" spans="1:40" x14ac:dyDescent="0.2">
      <c r="A318" s="60"/>
      <c r="B318" s="32"/>
      <c r="C318" s="32"/>
      <c r="D318" s="32"/>
      <c r="E318" s="32"/>
      <c r="F318" s="45"/>
      <c r="G318" s="45"/>
      <c r="H318" s="45"/>
      <c r="I318" s="32"/>
      <c r="J318" s="9"/>
      <c r="K318" s="9"/>
      <c r="L318" s="45"/>
      <c r="M318" s="45"/>
      <c r="N318" s="45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9"/>
      <c r="AF318" s="32"/>
      <c r="AG318" s="46"/>
      <c r="AH318" s="46"/>
      <c r="AI318" s="47"/>
      <c r="AJ318" s="47"/>
      <c r="AK318" s="46"/>
      <c r="AL318" s="9"/>
      <c r="AM318" s="32"/>
      <c r="AN318" s="42"/>
    </row>
    <row r="319" spans="1:40" x14ac:dyDescent="0.2">
      <c r="A319" s="60"/>
      <c r="B319" s="32"/>
      <c r="C319" s="32"/>
      <c r="D319" s="32"/>
      <c r="E319" s="32"/>
      <c r="F319" s="45"/>
      <c r="G319" s="45"/>
      <c r="H319" s="45"/>
      <c r="I319" s="32"/>
      <c r="J319" s="9"/>
      <c r="K319" s="9"/>
      <c r="L319" s="45"/>
      <c r="M319" s="45"/>
      <c r="N319" s="45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9"/>
      <c r="AF319" s="32"/>
      <c r="AG319" s="46"/>
      <c r="AH319" s="46"/>
      <c r="AI319" s="47"/>
      <c r="AJ319" s="47"/>
      <c r="AK319" s="46"/>
      <c r="AL319" s="9"/>
      <c r="AM319" s="32"/>
      <c r="AN319" s="42"/>
    </row>
    <row r="320" spans="1:40" x14ac:dyDescent="0.2">
      <c r="A320" s="60"/>
      <c r="B320" s="32"/>
      <c r="C320" s="32"/>
      <c r="D320" s="32"/>
      <c r="E320" s="32"/>
      <c r="F320" s="45"/>
      <c r="G320" s="45"/>
      <c r="H320" s="45"/>
      <c r="I320" s="32"/>
      <c r="J320" s="9"/>
      <c r="K320" s="9"/>
      <c r="L320" s="45"/>
      <c r="M320" s="45"/>
      <c r="N320" s="45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9"/>
      <c r="AF320" s="32"/>
      <c r="AG320" s="46"/>
      <c r="AH320" s="46"/>
      <c r="AI320" s="47"/>
      <c r="AJ320" s="47"/>
      <c r="AK320" s="46"/>
      <c r="AL320" s="9"/>
      <c r="AM320" s="32"/>
      <c r="AN320" s="42"/>
    </row>
    <row r="321" spans="1:40" x14ac:dyDescent="0.2">
      <c r="A321" s="60"/>
      <c r="B321" s="32"/>
      <c r="C321" s="32"/>
      <c r="D321" s="32"/>
      <c r="E321" s="32"/>
      <c r="F321" s="45"/>
      <c r="G321" s="45"/>
      <c r="H321" s="45"/>
      <c r="I321" s="32"/>
      <c r="J321" s="9"/>
      <c r="K321" s="9"/>
      <c r="L321" s="45"/>
      <c r="M321" s="45"/>
      <c r="N321" s="45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9"/>
      <c r="AF321" s="32"/>
      <c r="AG321" s="46"/>
      <c r="AH321" s="46"/>
      <c r="AI321" s="47"/>
      <c r="AJ321" s="47"/>
      <c r="AK321" s="46"/>
      <c r="AL321" s="9"/>
      <c r="AM321" s="32"/>
      <c r="AN321" s="42"/>
    </row>
    <row r="322" spans="1:40" x14ac:dyDescent="0.2">
      <c r="A322" s="60"/>
      <c r="B322" s="32"/>
      <c r="C322" s="32"/>
      <c r="D322" s="32"/>
      <c r="E322" s="32"/>
      <c r="F322" s="45"/>
      <c r="G322" s="45"/>
      <c r="H322" s="45"/>
      <c r="I322" s="32"/>
      <c r="J322" s="9"/>
      <c r="K322" s="9"/>
      <c r="L322" s="45"/>
      <c r="M322" s="45"/>
      <c r="N322" s="45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9"/>
      <c r="AF322" s="32"/>
      <c r="AG322" s="46"/>
      <c r="AH322" s="46"/>
      <c r="AI322" s="47"/>
      <c r="AJ322" s="47"/>
      <c r="AK322" s="46"/>
      <c r="AL322" s="9"/>
      <c r="AM322" s="32"/>
      <c r="AN322" s="42"/>
    </row>
    <row r="323" spans="1:40" x14ac:dyDescent="0.2">
      <c r="A323" s="60"/>
      <c r="B323" s="32"/>
      <c r="C323" s="32"/>
      <c r="D323" s="32"/>
      <c r="E323" s="32"/>
      <c r="F323" s="45"/>
      <c r="G323" s="45"/>
      <c r="H323" s="45"/>
      <c r="I323" s="32"/>
      <c r="J323" s="9"/>
      <c r="K323" s="9"/>
      <c r="L323" s="45"/>
      <c r="M323" s="45"/>
      <c r="N323" s="45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9"/>
      <c r="AF323" s="32"/>
      <c r="AG323" s="46"/>
      <c r="AH323" s="46"/>
      <c r="AI323" s="47"/>
      <c r="AJ323" s="47"/>
      <c r="AK323" s="46"/>
      <c r="AL323" s="9"/>
      <c r="AM323" s="32"/>
      <c r="AN323" s="42"/>
    </row>
    <row r="324" spans="1:40" x14ac:dyDescent="0.2">
      <c r="A324" s="60"/>
      <c r="B324" s="32"/>
      <c r="C324" s="32"/>
      <c r="D324" s="32"/>
      <c r="E324" s="32"/>
      <c r="F324" s="45"/>
      <c r="G324" s="45"/>
      <c r="H324" s="45"/>
      <c r="I324" s="32"/>
      <c r="J324" s="9"/>
      <c r="K324" s="9"/>
      <c r="L324" s="45"/>
      <c r="M324" s="45"/>
      <c r="N324" s="45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9"/>
      <c r="AF324" s="32"/>
      <c r="AG324" s="46"/>
      <c r="AH324" s="46"/>
      <c r="AI324" s="47"/>
      <c r="AJ324" s="47"/>
      <c r="AK324" s="46"/>
      <c r="AL324" s="9"/>
      <c r="AM324" s="32"/>
      <c r="AN324" s="42"/>
    </row>
    <row r="325" spans="1:40" x14ac:dyDescent="0.2">
      <c r="A325" s="60"/>
      <c r="B325" s="32"/>
      <c r="C325" s="32"/>
      <c r="D325" s="32"/>
      <c r="E325" s="32"/>
      <c r="F325" s="45"/>
      <c r="G325" s="45"/>
      <c r="H325" s="45"/>
      <c r="I325" s="32"/>
      <c r="J325" s="9"/>
      <c r="K325" s="9"/>
      <c r="L325" s="45"/>
      <c r="M325" s="45"/>
      <c r="N325" s="45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9"/>
      <c r="AF325" s="32"/>
      <c r="AG325" s="46"/>
      <c r="AH325" s="46"/>
      <c r="AI325" s="47"/>
      <c r="AJ325" s="47"/>
      <c r="AK325" s="46"/>
      <c r="AL325" s="9"/>
      <c r="AM325" s="32"/>
      <c r="AN325" s="42"/>
    </row>
    <row r="326" spans="1:40" x14ac:dyDescent="0.2">
      <c r="A326" s="60"/>
      <c r="B326" s="32"/>
      <c r="C326" s="32"/>
      <c r="D326" s="32"/>
      <c r="E326" s="32"/>
      <c r="F326" s="45"/>
      <c r="G326" s="45"/>
      <c r="H326" s="45"/>
      <c r="I326" s="32"/>
      <c r="J326" s="9"/>
      <c r="K326" s="9"/>
      <c r="L326" s="45"/>
      <c r="M326" s="45"/>
      <c r="N326" s="45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9"/>
      <c r="AF326" s="32"/>
      <c r="AG326" s="46"/>
      <c r="AH326" s="46"/>
      <c r="AI326" s="47"/>
      <c r="AJ326" s="47"/>
      <c r="AK326" s="46"/>
      <c r="AL326" s="9"/>
      <c r="AM326" s="32"/>
      <c r="AN326" s="42"/>
    </row>
    <row r="327" spans="1:40" x14ac:dyDescent="0.2">
      <c r="A327" s="60"/>
      <c r="B327" s="32"/>
      <c r="C327" s="32"/>
      <c r="D327" s="32"/>
      <c r="E327" s="32"/>
      <c r="F327" s="45"/>
      <c r="G327" s="45"/>
      <c r="H327" s="45"/>
      <c r="I327" s="32"/>
      <c r="J327" s="9"/>
      <c r="K327" s="9"/>
      <c r="L327" s="45"/>
      <c r="M327" s="45"/>
      <c r="N327" s="45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9"/>
      <c r="AF327" s="32"/>
      <c r="AG327" s="46"/>
      <c r="AH327" s="46"/>
      <c r="AI327" s="47"/>
      <c r="AJ327" s="47"/>
      <c r="AK327" s="46"/>
      <c r="AL327" s="9"/>
      <c r="AM327" s="32"/>
      <c r="AN327" s="42"/>
    </row>
    <row r="328" spans="1:40" x14ac:dyDescent="0.2">
      <c r="A328" s="60"/>
      <c r="B328" s="32"/>
      <c r="C328" s="32"/>
      <c r="D328" s="32"/>
      <c r="E328" s="32"/>
      <c r="F328" s="45"/>
      <c r="G328" s="45"/>
      <c r="H328" s="45"/>
      <c r="I328" s="32"/>
      <c r="J328" s="9"/>
      <c r="K328" s="9"/>
      <c r="L328" s="45"/>
      <c r="M328" s="45"/>
      <c r="N328" s="45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9"/>
      <c r="AF328" s="32"/>
      <c r="AG328" s="46"/>
      <c r="AH328" s="46"/>
      <c r="AI328" s="47"/>
      <c r="AJ328" s="47"/>
      <c r="AK328" s="46"/>
      <c r="AL328" s="9"/>
      <c r="AM328" s="32"/>
      <c r="AN328" s="42"/>
    </row>
    <row r="329" spans="1:40" x14ac:dyDescent="0.2">
      <c r="A329" s="60"/>
      <c r="B329" s="32"/>
      <c r="C329" s="32"/>
      <c r="D329" s="32"/>
      <c r="E329" s="32"/>
      <c r="F329" s="45"/>
      <c r="G329" s="45"/>
      <c r="H329" s="45"/>
      <c r="I329" s="32"/>
      <c r="J329" s="9"/>
      <c r="K329" s="9"/>
      <c r="L329" s="45"/>
      <c r="M329" s="45"/>
      <c r="N329" s="45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9"/>
      <c r="AF329" s="32"/>
      <c r="AG329" s="46"/>
      <c r="AH329" s="46"/>
      <c r="AI329" s="47"/>
      <c r="AJ329" s="47"/>
      <c r="AK329" s="46"/>
      <c r="AL329" s="9"/>
      <c r="AM329" s="32"/>
      <c r="AN329" s="42"/>
    </row>
    <row r="330" spans="1:40" x14ac:dyDescent="0.2">
      <c r="A330" s="60"/>
      <c r="B330" s="32"/>
      <c r="C330" s="32"/>
      <c r="D330" s="32"/>
      <c r="E330" s="32"/>
      <c r="F330" s="45"/>
      <c r="G330" s="45"/>
      <c r="H330" s="45"/>
      <c r="I330" s="32"/>
      <c r="J330" s="9"/>
      <c r="K330" s="9"/>
      <c r="L330" s="45"/>
      <c r="M330" s="45"/>
      <c r="N330" s="45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9"/>
      <c r="AF330" s="32"/>
      <c r="AG330" s="46"/>
      <c r="AH330" s="46"/>
      <c r="AI330" s="47"/>
      <c r="AJ330" s="47"/>
      <c r="AK330" s="46"/>
      <c r="AL330" s="9"/>
      <c r="AM330" s="32"/>
      <c r="AN330" s="42"/>
    </row>
    <row r="331" spans="1:40" x14ac:dyDescent="0.2">
      <c r="A331" s="60"/>
      <c r="B331" s="32"/>
      <c r="C331" s="32"/>
      <c r="D331" s="32"/>
      <c r="E331" s="32"/>
      <c r="F331" s="45"/>
      <c r="G331" s="45"/>
      <c r="H331" s="45"/>
      <c r="I331" s="32"/>
      <c r="J331" s="9"/>
      <c r="K331" s="9"/>
      <c r="L331" s="45"/>
      <c r="M331" s="45"/>
      <c r="N331" s="45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9"/>
      <c r="AF331" s="32"/>
      <c r="AG331" s="46"/>
      <c r="AH331" s="46"/>
      <c r="AI331" s="47"/>
      <c r="AJ331" s="47"/>
      <c r="AK331" s="46"/>
      <c r="AL331" s="9"/>
      <c r="AM331" s="32"/>
      <c r="AN331" s="42"/>
    </row>
    <row r="332" spans="1:40" x14ac:dyDescent="0.2">
      <c r="A332" s="60"/>
      <c r="B332" s="32"/>
      <c r="C332" s="32"/>
      <c r="D332" s="32"/>
      <c r="E332" s="32"/>
      <c r="F332" s="45"/>
      <c r="G332" s="45"/>
      <c r="H332" s="45"/>
      <c r="I332" s="32"/>
      <c r="J332" s="9"/>
      <c r="K332" s="9"/>
      <c r="L332" s="45"/>
      <c r="M332" s="45"/>
      <c r="N332" s="45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9"/>
      <c r="AF332" s="32"/>
      <c r="AG332" s="46"/>
      <c r="AH332" s="46"/>
      <c r="AI332" s="47"/>
      <c r="AJ332" s="47"/>
      <c r="AK332" s="46"/>
      <c r="AL332" s="9"/>
      <c r="AM332" s="32"/>
      <c r="AN332" s="42"/>
    </row>
    <row r="333" spans="1:40" x14ac:dyDescent="0.2">
      <c r="A333" s="60"/>
      <c r="B333" s="32"/>
      <c r="C333" s="32"/>
      <c r="D333" s="32"/>
      <c r="E333" s="32"/>
      <c r="F333" s="45"/>
      <c r="G333" s="45"/>
      <c r="H333" s="45"/>
      <c r="I333" s="32"/>
      <c r="J333" s="9"/>
      <c r="K333" s="9"/>
      <c r="L333" s="45"/>
      <c r="M333" s="45"/>
      <c r="N333" s="45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9"/>
      <c r="AF333" s="32"/>
      <c r="AG333" s="46"/>
      <c r="AH333" s="46"/>
      <c r="AI333" s="47"/>
      <c r="AJ333" s="47"/>
      <c r="AK333" s="46"/>
      <c r="AL333" s="9"/>
      <c r="AM333" s="32"/>
      <c r="AN333" s="42"/>
    </row>
    <row r="334" spans="1:40" x14ac:dyDescent="0.2">
      <c r="A334" s="60"/>
      <c r="B334" s="32"/>
      <c r="C334" s="32"/>
      <c r="D334" s="32"/>
      <c r="E334" s="32"/>
      <c r="F334" s="45"/>
      <c r="G334" s="45"/>
      <c r="H334" s="45"/>
      <c r="I334" s="32"/>
      <c r="J334" s="9"/>
      <c r="K334" s="9"/>
      <c r="L334" s="45"/>
      <c r="M334" s="45"/>
      <c r="N334" s="45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9"/>
      <c r="AF334" s="32"/>
      <c r="AG334" s="46"/>
      <c r="AH334" s="46"/>
      <c r="AI334" s="47"/>
      <c r="AJ334" s="47"/>
      <c r="AK334" s="46"/>
      <c r="AL334" s="9"/>
      <c r="AM334" s="32"/>
      <c r="AN334" s="42"/>
    </row>
    <row r="335" spans="1:40" x14ac:dyDescent="0.2">
      <c r="A335" s="60"/>
      <c r="B335" s="32"/>
      <c r="C335" s="32"/>
      <c r="D335" s="32"/>
      <c r="E335" s="32"/>
      <c r="F335" s="45"/>
      <c r="G335" s="45"/>
      <c r="H335" s="45"/>
      <c r="I335" s="32"/>
      <c r="J335" s="9"/>
      <c r="K335" s="9"/>
      <c r="L335" s="45"/>
      <c r="M335" s="45"/>
      <c r="N335" s="45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9"/>
      <c r="AF335" s="32"/>
      <c r="AG335" s="46"/>
      <c r="AH335" s="46"/>
      <c r="AI335" s="47"/>
      <c r="AJ335" s="47"/>
      <c r="AK335" s="46"/>
      <c r="AL335" s="9"/>
      <c r="AM335" s="32"/>
      <c r="AN335" s="42"/>
    </row>
    <row r="336" spans="1:40" x14ac:dyDescent="0.2">
      <c r="A336" s="60"/>
      <c r="B336" s="32"/>
      <c r="C336" s="32"/>
      <c r="D336" s="32"/>
      <c r="E336" s="32"/>
      <c r="F336" s="45"/>
      <c r="G336" s="45"/>
      <c r="H336" s="45"/>
      <c r="I336" s="32"/>
      <c r="J336" s="9"/>
      <c r="K336" s="9"/>
      <c r="L336" s="45"/>
      <c r="M336" s="45"/>
      <c r="N336" s="45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9"/>
      <c r="AF336" s="32"/>
      <c r="AG336" s="46"/>
      <c r="AH336" s="46"/>
      <c r="AI336" s="47"/>
      <c r="AJ336" s="47"/>
      <c r="AK336" s="46"/>
      <c r="AL336" s="9"/>
      <c r="AM336" s="32"/>
      <c r="AN336" s="42"/>
    </row>
    <row r="337" spans="1:40" x14ac:dyDescent="0.2">
      <c r="A337" s="60"/>
      <c r="B337" s="32"/>
      <c r="C337" s="32"/>
      <c r="D337" s="32"/>
      <c r="E337" s="32"/>
      <c r="F337" s="45"/>
      <c r="G337" s="45"/>
      <c r="H337" s="45"/>
      <c r="I337" s="32"/>
      <c r="J337" s="9"/>
      <c r="K337" s="9"/>
      <c r="L337" s="45"/>
      <c r="M337" s="45"/>
      <c r="N337" s="45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9"/>
      <c r="AF337" s="32"/>
      <c r="AG337" s="46"/>
      <c r="AH337" s="46"/>
      <c r="AI337" s="47"/>
      <c r="AJ337" s="47"/>
      <c r="AK337" s="46"/>
      <c r="AL337" s="9"/>
      <c r="AM337" s="32"/>
      <c r="AN337" s="42"/>
    </row>
    <row r="338" spans="1:40" x14ac:dyDescent="0.2">
      <c r="A338" s="60"/>
      <c r="B338" s="32"/>
      <c r="C338" s="32"/>
      <c r="D338" s="32"/>
      <c r="E338" s="32"/>
      <c r="F338" s="45"/>
      <c r="G338" s="45"/>
      <c r="H338" s="45"/>
      <c r="I338" s="32"/>
      <c r="J338" s="9"/>
      <c r="K338" s="9"/>
      <c r="L338" s="45"/>
      <c r="M338" s="45"/>
      <c r="N338" s="45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9"/>
      <c r="AF338" s="32"/>
      <c r="AG338" s="46"/>
      <c r="AH338" s="46"/>
      <c r="AI338" s="47"/>
      <c r="AJ338" s="47"/>
      <c r="AK338" s="46"/>
      <c r="AL338" s="9"/>
      <c r="AM338" s="32"/>
      <c r="AN338" s="42"/>
    </row>
    <row r="339" spans="1:40" x14ac:dyDescent="0.2">
      <c r="A339" s="60"/>
      <c r="B339" s="32"/>
      <c r="C339" s="32"/>
      <c r="D339" s="32"/>
      <c r="E339" s="32"/>
      <c r="F339" s="45"/>
      <c r="G339" s="45"/>
      <c r="H339" s="45"/>
      <c r="I339" s="32"/>
      <c r="J339" s="9"/>
      <c r="K339" s="9"/>
      <c r="L339" s="45"/>
      <c r="M339" s="45"/>
      <c r="N339" s="45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9"/>
      <c r="AF339" s="32"/>
      <c r="AG339" s="46"/>
      <c r="AH339" s="46"/>
      <c r="AI339" s="47"/>
      <c r="AJ339" s="47"/>
      <c r="AK339" s="46"/>
      <c r="AL339" s="9"/>
      <c r="AM339" s="32"/>
      <c r="AN339" s="42"/>
    </row>
    <row r="340" spans="1:40" x14ac:dyDescent="0.2">
      <c r="A340" s="60"/>
      <c r="B340" s="32"/>
      <c r="C340" s="32"/>
      <c r="D340" s="32"/>
      <c r="E340" s="32"/>
      <c r="F340" s="45"/>
      <c r="G340" s="45"/>
      <c r="H340" s="45"/>
      <c r="I340" s="32"/>
      <c r="J340" s="9"/>
      <c r="K340" s="9"/>
      <c r="L340" s="45"/>
      <c r="M340" s="45"/>
      <c r="N340" s="45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9"/>
      <c r="AF340" s="32"/>
      <c r="AG340" s="46"/>
      <c r="AH340" s="46"/>
      <c r="AI340" s="47"/>
      <c r="AJ340" s="47"/>
      <c r="AK340" s="46"/>
      <c r="AL340" s="9"/>
      <c r="AM340" s="32"/>
      <c r="AN340" s="42"/>
    </row>
    <row r="341" spans="1:40" x14ac:dyDescent="0.2">
      <c r="A341" s="60"/>
      <c r="B341" s="32"/>
      <c r="C341" s="32"/>
      <c r="D341" s="32"/>
      <c r="E341" s="32"/>
      <c r="F341" s="45"/>
      <c r="G341" s="45"/>
      <c r="H341" s="45"/>
      <c r="I341" s="32"/>
      <c r="J341" s="9"/>
      <c r="K341" s="9"/>
      <c r="L341" s="45"/>
      <c r="M341" s="45"/>
      <c r="N341" s="45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9"/>
      <c r="AF341" s="32"/>
      <c r="AG341" s="46"/>
      <c r="AH341" s="46"/>
      <c r="AI341" s="47"/>
      <c r="AJ341" s="47"/>
      <c r="AK341" s="46"/>
      <c r="AL341" s="9"/>
      <c r="AM341" s="32"/>
      <c r="AN341" s="42"/>
    </row>
    <row r="342" spans="1:40" x14ac:dyDescent="0.2">
      <c r="A342" s="60"/>
      <c r="B342" s="32"/>
      <c r="C342" s="32"/>
      <c r="D342" s="32"/>
      <c r="E342" s="32"/>
      <c r="F342" s="45"/>
      <c r="G342" s="45"/>
      <c r="H342" s="45"/>
      <c r="I342" s="32"/>
      <c r="J342" s="9"/>
      <c r="K342" s="9"/>
      <c r="L342" s="45"/>
      <c r="M342" s="45"/>
      <c r="N342" s="45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9"/>
      <c r="AF342" s="32"/>
      <c r="AG342" s="46"/>
      <c r="AH342" s="46"/>
      <c r="AI342" s="47"/>
      <c r="AJ342" s="47"/>
      <c r="AK342" s="46"/>
      <c r="AL342" s="9"/>
      <c r="AM342" s="32"/>
      <c r="AN342" s="42"/>
    </row>
    <row r="343" spans="1:40" x14ac:dyDescent="0.2">
      <c r="A343" s="60"/>
      <c r="B343" s="32"/>
      <c r="C343" s="32"/>
      <c r="D343" s="32"/>
      <c r="E343" s="32"/>
      <c r="F343" s="45"/>
      <c r="G343" s="45"/>
      <c r="H343" s="45"/>
      <c r="I343" s="32"/>
      <c r="J343" s="9"/>
      <c r="K343" s="9"/>
      <c r="L343" s="45"/>
      <c r="M343" s="45"/>
      <c r="N343" s="45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9"/>
      <c r="AF343" s="32"/>
      <c r="AG343" s="46"/>
      <c r="AH343" s="46"/>
      <c r="AI343" s="47"/>
      <c r="AJ343" s="47"/>
      <c r="AK343" s="46"/>
      <c r="AL343" s="9"/>
      <c r="AM343" s="32"/>
      <c r="AN343" s="42"/>
    </row>
    <row r="344" spans="1:40" x14ac:dyDescent="0.2">
      <c r="A344" s="60"/>
      <c r="B344" s="32"/>
      <c r="C344" s="32"/>
      <c r="D344" s="32"/>
      <c r="E344" s="32"/>
      <c r="F344" s="45"/>
      <c r="G344" s="45"/>
      <c r="H344" s="45"/>
      <c r="I344" s="32"/>
      <c r="J344" s="9"/>
      <c r="K344" s="9"/>
      <c r="L344" s="45"/>
      <c r="M344" s="45"/>
      <c r="N344" s="45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9"/>
      <c r="AF344" s="32"/>
      <c r="AG344" s="46"/>
      <c r="AH344" s="46"/>
      <c r="AI344" s="47"/>
      <c r="AJ344" s="47"/>
      <c r="AK344" s="46"/>
      <c r="AL344" s="9"/>
      <c r="AM344" s="32"/>
      <c r="AN344" s="42"/>
    </row>
    <row r="345" spans="1:40" x14ac:dyDescent="0.2">
      <c r="A345" s="60"/>
      <c r="B345" s="32"/>
      <c r="C345" s="32"/>
      <c r="D345" s="32"/>
      <c r="E345" s="32"/>
      <c r="F345" s="45"/>
      <c r="G345" s="45"/>
      <c r="H345" s="45"/>
      <c r="I345" s="32"/>
      <c r="J345" s="9"/>
      <c r="K345" s="9"/>
      <c r="L345" s="45"/>
      <c r="M345" s="45"/>
      <c r="N345" s="45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9"/>
      <c r="AF345" s="32"/>
      <c r="AG345" s="46"/>
      <c r="AH345" s="46"/>
      <c r="AI345" s="47"/>
      <c r="AJ345" s="47"/>
      <c r="AK345" s="46"/>
      <c r="AL345" s="9"/>
      <c r="AM345" s="32"/>
      <c r="AN345" s="42"/>
    </row>
    <row r="346" spans="1:40" x14ac:dyDescent="0.2">
      <c r="A346" s="60"/>
      <c r="B346" s="32"/>
      <c r="C346" s="32"/>
      <c r="D346" s="32"/>
      <c r="E346" s="32"/>
      <c r="F346" s="45"/>
      <c r="G346" s="45"/>
      <c r="H346" s="45"/>
      <c r="I346" s="32"/>
      <c r="J346" s="9"/>
      <c r="K346" s="9"/>
      <c r="L346" s="45"/>
      <c r="M346" s="45"/>
      <c r="N346" s="45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9"/>
      <c r="AF346" s="32"/>
      <c r="AG346" s="46"/>
      <c r="AH346" s="46"/>
      <c r="AI346" s="47"/>
      <c r="AJ346" s="47"/>
      <c r="AK346" s="46"/>
      <c r="AL346" s="9"/>
      <c r="AM346" s="32"/>
      <c r="AN346" s="42"/>
    </row>
    <row r="347" spans="1:40" x14ac:dyDescent="0.2">
      <c r="A347" s="60"/>
      <c r="B347" s="32"/>
      <c r="C347" s="32"/>
      <c r="D347" s="32"/>
      <c r="E347" s="32"/>
      <c r="F347" s="45"/>
      <c r="G347" s="45"/>
      <c r="H347" s="45"/>
      <c r="I347" s="32"/>
      <c r="J347" s="9"/>
      <c r="K347" s="9"/>
      <c r="L347" s="45"/>
      <c r="M347" s="45"/>
      <c r="N347" s="45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9"/>
      <c r="AF347" s="32"/>
      <c r="AG347" s="46"/>
      <c r="AH347" s="46"/>
      <c r="AI347" s="47"/>
      <c r="AJ347" s="47"/>
      <c r="AK347" s="46"/>
      <c r="AL347" s="9"/>
      <c r="AM347" s="32"/>
      <c r="AN347" s="42"/>
    </row>
    <row r="348" spans="1:40" x14ac:dyDescent="0.2">
      <c r="A348" s="60"/>
      <c r="B348" s="32"/>
      <c r="C348" s="32"/>
      <c r="D348" s="32"/>
      <c r="E348" s="32"/>
      <c r="F348" s="45"/>
      <c r="G348" s="45"/>
      <c r="H348" s="45"/>
      <c r="I348" s="32"/>
      <c r="J348" s="9"/>
      <c r="K348" s="9"/>
      <c r="L348" s="45"/>
      <c r="M348" s="45"/>
      <c r="N348" s="45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9"/>
      <c r="AF348" s="32"/>
      <c r="AG348" s="46"/>
      <c r="AH348" s="46"/>
      <c r="AI348" s="47"/>
      <c r="AJ348" s="47"/>
      <c r="AK348" s="46"/>
      <c r="AL348" s="9"/>
      <c r="AM348" s="32"/>
      <c r="AN348" s="42"/>
    </row>
    <row r="349" spans="1:40" x14ac:dyDescent="0.2">
      <c r="A349" s="60"/>
      <c r="B349" s="32"/>
      <c r="C349" s="32"/>
      <c r="D349" s="32"/>
      <c r="E349" s="32"/>
      <c r="F349" s="45"/>
      <c r="G349" s="45"/>
      <c r="H349" s="45"/>
      <c r="I349" s="32"/>
      <c r="J349" s="9"/>
      <c r="K349" s="9"/>
      <c r="L349" s="45"/>
      <c r="M349" s="45"/>
      <c r="N349" s="45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9"/>
      <c r="AF349" s="32"/>
      <c r="AG349" s="46"/>
      <c r="AH349" s="46"/>
      <c r="AI349" s="47"/>
      <c r="AJ349" s="47"/>
      <c r="AK349" s="46"/>
      <c r="AL349" s="9"/>
      <c r="AM349" s="32"/>
      <c r="AN349" s="42"/>
    </row>
    <row r="350" spans="1:40" x14ac:dyDescent="0.2">
      <c r="A350" s="60"/>
      <c r="B350" s="32"/>
      <c r="C350" s="32"/>
      <c r="D350" s="32"/>
      <c r="E350" s="32"/>
      <c r="F350" s="45"/>
      <c r="G350" s="45"/>
      <c r="H350" s="45"/>
      <c r="I350" s="32"/>
      <c r="J350" s="9"/>
      <c r="K350" s="9"/>
      <c r="L350" s="45"/>
      <c r="M350" s="45"/>
      <c r="N350" s="45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9"/>
      <c r="AF350" s="32"/>
      <c r="AG350" s="46"/>
      <c r="AH350" s="46"/>
      <c r="AI350" s="47"/>
      <c r="AJ350" s="47"/>
      <c r="AK350" s="46"/>
      <c r="AL350" s="9"/>
      <c r="AM350" s="32"/>
      <c r="AN350" s="42"/>
    </row>
    <row r="351" spans="1:40" x14ac:dyDescent="0.2">
      <c r="A351" s="60"/>
      <c r="B351" s="32"/>
      <c r="C351" s="32"/>
      <c r="D351" s="32"/>
      <c r="E351" s="32"/>
      <c r="F351" s="45"/>
      <c r="G351" s="45"/>
      <c r="H351" s="45"/>
      <c r="I351" s="32"/>
      <c r="J351" s="9"/>
      <c r="K351" s="9"/>
      <c r="L351" s="45"/>
      <c r="M351" s="45"/>
      <c r="N351" s="45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9"/>
      <c r="AF351" s="32"/>
      <c r="AG351" s="46"/>
      <c r="AH351" s="46"/>
      <c r="AI351" s="47"/>
      <c r="AJ351" s="47"/>
      <c r="AK351" s="46"/>
      <c r="AL351" s="9"/>
      <c r="AM351" s="32"/>
      <c r="AN351" s="42"/>
    </row>
    <row r="352" spans="1:40" x14ac:dyDescent="0.2">
      <c r="A352" s="60"/>
      <c r="B352" s="32"/>
      <c r="C352" s="32"/>
      <c r="D352" s="32"/>
      <c r="E352" s="32"/>
      <c r="F352" s="45"/>
      <c r="G352" s="45"/>
      <c r="H352" s="45"/>
      <c r="I352" s="32"/>
      <c r="J352" s="9"/>
      <c r="K352" s="9"/>
      <c r="L352" s="45"/>
      <c r="M352" s="45"/>
      <c r="N352" s="45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9"/>
      <c r="AF352" s="32"/>
      <c r="AG352" s="46"/>
      <c r="AH352" s="46"/>
      <c r="AI352" s="47"/>
      <c r="AJ352" s="47"/>
      <c r="AK352" s="46"/>
      <c r="AL352" s="9"/>
      <c r="AM352" s="32"/>
      <c r="AN352" s="42"/>
    </row>
    <row r="353" spans="1:40" x14ac:dyDescent="0.2">
      <c r="A353" s="60"/>
      <c r="B353" s="32"/>
      <c r="C353" s="32"/>
      <c r="D353" s="32"/>
      <c r="E353" s="32"/>
      <c r="F353" s="45"/>
      <c r="G353" s="45"/>
      <c r="H353" s="45"/>
      <c r="I353" s="32"/>
      <c r="J353" s="9"/>
      <c r="K353" s="9"/>
      <c r="L353" s="45"/>
      <c r="M353" s="45"/>
      <c r="N353" s="45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9"/>
      <c r="AF353" s="32"/>
      <c r="AG353" s="46"/>
      <c r="AH353" s="46"/>
      <c r="AI353" s="47"/>
      <c r="AJ353" s="47"/>
      <c r="AK353" s="46"/>
      <c r="AL353" s="9"/>
      <c r="AM353" s="32"/>
      <c r="AN353" s="42"/>
    </row>
    <row r="354" spans="1:40" x14ac:dyDescent="0.2">
      <c r="A354" s="60"/>
      <c r="B354" s="32"/>
      <c r="C354" s="32"/>
      <c r="D354" s="32"/>
      <c r="E354" s="32"/>
      <c r="F354" s="45"/>
      <c r="G354" s="45"/>
      <c r="H354" s="45"/>
      <c r="I354" s="32"/>
      <c r="J354" s="9"/>
      <c r="K354" s="9"/>
      <c r="L354" s="45"/>
      <c r="M354" s="45"/>
      <c r="N354" s="45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9"/>
      <c r="AF354" s="32"/>
      <c r="AG354" s="46"/>
      <c r="AH354" s="46"/>
      <c r="AI354" s="47"/>
      <c r="AJ354" s="47"/>
      <c r="AK354" s="46"/>
      <c r="AL354" s="9"/>
      <c r="AM354" s="32"/>
      <c r="AN354" s="42"/>
    </row>
    <row r="355" spans="1:40" x14ac:dyDescent="0.2">
      <c r="A355" s="60"/>
      <c r="B355" s="32"/>
      <c r="C355" s="32"/>
      <c r="D355" s="32"/>
      <c r="E355" s="32"/>
      <c r="F355" s="45"/>
      <c r="G355" s="45"/>
      <c r="H355" s="45"/>
      <c r="I355" s="32"/>
      <c r="J355" s="9"/>
      <c r="K355" s="9"/>
      <c r="L355" s="45"/>
      <c r="M355" s="45"/>
      <c r="N355" s="45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9"/>
      <c r="AF355" s="32"/>
      <c r="AG355" s="46"/>
      <c r="AH355" s="46"/>
      <c r="AI355" s="47"/>
      <c r="AJ355" s="47"/>
      <c r="AK355" s="46"/>
      <c r="AL355" s="9"/>
      <c r="AM355" s="32"/>
      <c r="AN355" s="42"/>
    </row>
    <row r="356" spans="1:40" x14ac:dyDescent="0.2">
      <c r="A356" s="60"/>
      <c r="B356" s="32"/>
      <c r="C356" s="32"/>
      <c r="D356" s="32"/>
      <c r="E356" s="32"/>
      <c r="F356" s="45"/>
      <c r="G356" s="45"/>
      <c r="H356" s="45"/>
      <c r="I356" s="32"/>
      <c r="J356" s="9"/>
      <c r="K356" s="9"/>
      <c r="L356" s="45"/>
      <c r="M356" s="45"/>
      <c r="N356" s="45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9"/>
      <c r="AF356" s="32"/>
      <c r="AG356" s="46"/>
      <c r="AH356" s="46"/>
      <c r="AI356" s="47"/>
      <c r="AJ356" s="47"/>
      <c r="AK356" s="46"/>
      <c r="AL356" s="9"/>
      <c r="AM356" s="32"/>
      <c r="AN356" s="42"/>
    </row>
    <row r="357" spans="1:40" x14ac:dyDescent="0.2">
      <c r="A357" s="60"/>
      <c r="B357" s="32"/>
      <c r="C357" s="32"/>
      <c r="D357" s="32"/>
      <c r="E357" s="32"/>
      <c r="F357" s="45"/>
      <c r="G357" s="45"/>
      <c r="H357" s="45"/>
      <c r="I357" s="32"/>
      <c r="J357" s="9"/>
      <c r="K357" s="9"/>
      <c r="L357" s="45"/>
      <c r="M357" s="45"/>
      <c r="N357" s="45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9"/>
      <c r="AF357" s="32"/>
      <c r="AG357" s="46"/>
      <c r="AH357" s="46"/>
      <c r="AI357" s="47"/>
      <c r="AJ357" s="47"/>
      <c r="AK357" s="46"/>
      <c r="AL357" s="9"/>
      <c r="AM357" s="32"/>
      <c r="AN357" s="42"/>
    </row>
    <row r="358" spans="1:40" x14ac:dyDescent="0.2">
      <c r="A358" s="60"/>
      <c r="B358" s="32"/>
      <c r="C358" s="32"/>
      <c r="D358" s="32"/>
      <c r="E358" s="32"/>
      <c r="F358" s="45"/>
      <c r="G358" s="45"/>
      <c r="H358" s="45"/>
      <c r="I358" s="32"/>
      <c r="J358" s="9"/>
      <c r="K358" s="9"/>
      <c r="L358" s="45"/>
      <c r="M358" s="45"/>
      <c r="N358" s="45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9"/>
      <c r="AF358" s="32"/>
      <c r="AG358" s="46"/>
      <c r="AH358" s="46"/>
      <c r="AI358" s="47"/>
      <c r="AJ358" s="47"/>
      <c r="AK358" s="46"/>
      <c r="AL358" s="9"/>
      <c r="AM358" s="32"/>
      <c r="AN358" s="42"/>
    </row>
    <row r="359" spans="1:40" x14ac:dyDescent="0.2">
      <c r="A359" s="60"/>
      <c r="B359" s="32"/>
      <c r="C359" s="32"/>
      <c r="D359" s="32"/>
      <c r="E359" s="32"/>
      <c r="F359" s="45"/>
      <c r="G359" s="45"/>
      <c r="H359" s="45"/>
      <c r="I359" s="32"/>
      <c r="J359" s="9"/>
      <c r="K359" s="9"/>
      <c r="L359" s="45"/>
      <c r="M359" s="45"/>
      <c r="N359" s="45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9"/>
      <c r="AF359" s="32"/>
      <c r="AG359" s="46"/>
      <c r="AH359" s="46"/>
      <c r="AI359" s="47"/>
      <c r="AJ359" s="47"/>
      <c r="AK359" s="46"/>
      <c r="AL359" s="9"/>
      <c r="AM359" s="32"/>
      <c r="AN359" s="42"/>
    </row>
    <row r="360" spans="1:40" x14ac:dyDescent="0.2">
      <c r="A360" s="60"/>
      <c r="B360" s="32"/>
      <c r="C360" s="32"/>
      <c r="D360" s="32"/>
      <c r="E360" s="32"/>
      <c r="F360" s="45"/>
      <c r="G360" s="45"/>
      <c r="H360" s="45"/>
      <c r="I360" s="32"/>
      <c r="J360" s="9"/>
      <c r="K360" s="9"/>
      <c r="L360" s="45"/>
      <c r="M360" s="45"/>
      <c r="N360" s="45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9"/>
      <c r="AF360" s="32"/>
      <c r="AG360" s="46"/>
      <c r="AH360" s="46"/>
      <c r="AI360" s="47"/>
      <c r="AJ360" s="47"/>
      <c r="AK360" s="46"/>
      <c r="AL360" s="9"/>
      <c r="AM360" s="32"/>
      <c r="AN360" s="42"/>
    </row>
    <row r="361" spans="1:40" x14ac:dyDescent="0.2">
      <c r="A361" s="60"/>
      <c r="B361" s="32"/>
      <c r="C361" s="32"/>
      <c r="D361" s="32"/>
      <c r="E361" s="32"/>
      <c r="F361" s="45"/>
      <c r="G361" s="45"/>
      <c r="H361" s="45"/>
      <c r="I361" s="32"/>
      <c r="J361" s="9"/>
      <c r="K361" s="9"/>
      <c r="L361" s="45"/>
      <c r="M361" s="45"/>
      <c r="N361" s="45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9"/>
      <c r="AF361" s="32"/>
      <c r="AG361" s="46"/>
      <c r="AH361" s="46"/>
      <c r="AI361" s="47"/>
      <c r="AJ361" s="47"/>
      <c r="AK361" s="46"/>
      <c r="AL361" s="9"/>
      <c r="AM361" s="32"/>
      <c r="AN361" s="42"/>
    </row>
    <row r="362" spans="1:40" x14ac:dyDescent="0.2">
      <c r="A362" s="60"/>
      <c r="B362" s="32"/>
      <c r="C362" s="32"/>
      <c r="D362" s="32"/>
      <c r="E362" s="32"/>
      <c r="F362" s="45"/>
      <c r="G362" s="45"/>
      <c r="H362" s="45"/>
      <c r="I362" s="32"/>
      <c r="J362" s="9"/>
      <c r="K362" s="9"/>
      <c r="L362" s="45"/>
      <c r="M362" s="45"/>
      <c r="N362" s="45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9"/>
      <c r="AF362" s="32"/>
      <c r="AG362" s="46"/>
      <c r="AH362" s="46"/>
      <c r="AI362" s="47"/>
      <c r="AJ362" s="47"/>
      <c r="AK362" s="46"/>
      <c r="AL362" s="9"/>
      <c r="AM362" s="32"/>
      <c r="AN362" s="42"/>
    </row>
    <row r="363" spans="1:40" x14ac:dyDescent="0.2">
      <c r="A363" s="60"/>
      <c r="B363" s="32"/>
      <c r="C363" s="32"/>
      <c r="D363" s="32"/>
      <c r="E363" s="32"/>
      <c r="F363" s="45"/>
      <c r="G363" s="45"/>
      <c r="H363" s="45"/>
      <c r="I363" s="32"/>
      <c r="J363" s="9"/>
      <c r="K363" s="9"/>
      <c r="L363" s="45"/>
      <c r="M363" s="45"/>
      <c r="N363" s="45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9"/>
      <c r="AF363" s="32"/>
      <c r="AG363" s="46"/>
      <c r="AH363" s="46"/>
      <c r="AI363" s="47"/>
      <c r="AJ363" s="47"/>
      <c r="AK363" s="46"/>
      <c r="AL363" s="9"/>
      <c r="AM363" s="32"/>
      <c r="AN363" s="42"/>
    </row>
    <row r="364" spans="1:40" x14ac:dyDescent="0.2">
      <c r="A364" s="60"/>
      <c r="B364" s="32"/>
      <c r="C364" s="32"/>
      <c r="D364" s="32"/>
      <c r="E364" s="32"/>
      <c r="F364" s="45"/>
      <c r="G364" s="45"/>
      <c r="H364" s="45"/>
      <c r="I364" s="32"/>
      <c r="J364" s="9"/>
      <c r="K364" s="9"/>
      <c r="L364" s="45"/>
      <c r="M364" s="45"/>
      <c r="N364" s="45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9"/>
      <c r="AF364" s="32"/>
      <c r="AG364" s="46"/>
      <c r="AH364" s="46"/>
      <c r="AI364" s="47"/>
      <c r="AJ364" s="47"/>
      <c r="AK364" s="46"/>
      <c r="AL364" s="9"/>
      <c r="AM364" s="32"/>
      <c r="AN364" s="42"/>
    </row>
    <row r="365" spans="1:40" x14ac:dyDescent="0.2">
      <c r="A365" s="60"/>
      <c r="B365" s="32"/>
      <c r="C365" s="32"/>
      <c r="D365" s="32"/>
      <c r="E365" s="32"/>
      <c r="F365" s="45"/>
      <c r="G365" s="45"/>
      <c r="H365" s="45"/>
      <c r="I365" s="32"/>
      <c r="J365" s="9"/>
      <c r="K365" s="9"/>
      <c r="L365" s="45"/>
      <c r="M365" s="45"/>
      <c r="N365" s="45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9"/>
      <c r="AF365" s="32"/>
      <c r="AG365" s="46"/>
      <c r="AH365" s="46"/>
      <c r="AI365" s="47"/>
      <c r="AJ365" s="47"/>
      <c r="AK365" s="46"/>
      <c r="AL365" s="9"/>
      <c r="AM365" s="32"/>
      <c r="AN365" s="42"/>
    </row>
    <row r="366" spans="1:40" x14ac:dyDescent="0.2">
      <c r="A366" s="60"/>
      <c r="B366" s="32"/>
      <c r="C366" s="32"/>
      <c r="D366" s="32"/>
      <c r="E366" s="32"/>
      <c r="F366" s="45"/>
      <c r="G366" s="45"/>
      <c r="H366" s="45"/>
      <c r="I366" s="32"/>
      <c r="J366" s="9"/>
      <c r="K366" s="9"/>
      <c r="L366" s="45"/>
      <c r="M366" s="45"/>
      <c r="N366" s="45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9"/>
      <c r="AF366" s="32"/>
      <c r="AG366" s="46"/>
      <c r="AH366" s="46"/>
      <c r="AI366" s="47"/>
      <c r="AJ366" s="47"/>
      <c r="AK366" s="46"/>
      <c r="AL366" s="9"/>
      <c r="AM366" s="32"/>
      <c r="AN366" s="42"/>
    </row>
    <row r="367" spans="1:40" x14ac:dyDescent="0.2">
      <c r="A367" s="60"/>
      <c r="B367" s="32"/>
      <c r="C367" s="32"/>
      <c r="D367" s="32"/>
      <c r="E367" s="32"/>
      <c r="F367" s="45"/>
      <c r="G367" s="45"/>
      <c r="H367" s="45"/>
      <c r="I367" s="32"/>
      <c r="J367" s="9"/>
      <c r="K367" s="9"/>
      <c r="L367" s="45"/>
      <c r="M367" s="45"/>
      <c r="N367" s="45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9"/>
      <c r="AF367" s="32"/>
      <c r="AG367" s="46"/>
      <c r="AH367" s="46"/>
      <c r="AI367" s="47"/>
      <c r="AJ367" s="47"/>
      <c r="AK367" s="46"/>
      <c r="AL367" s="9"/>
      <c r="AM367" s="32"/>
      <c r="AN367" s="42"/>
    </row>
    <row r="368" spans="1:40" x14ac:dyDescent="0.2">
      <c r="A368" s="60"/>
      <c r="B368" s="32"/>
      <c r="C368" s="32"/>
      <c r="D368" s="32"/>
      <c r="E368" s="32"/>
      <c r="F368" s="45"/>
      <c r="G368" s="45"/>
      <c r="H368" s="45"/>
      <c r="I368" s="32"/>
      <c r="J368" s="9"/>
      <c r="K368" s="9"/>
      <c r="L368" s="45"/>
      <c r="M368" s="45"/>
      <c r="N368" s="45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9"/>
      <c r="AF368" s="32"/>
      <c r="AG368" s="46"/>
      <c r="AH368" s="46"/>
      <c r="AI368" s="47"/>
      <c r="AJ368" s="47"/>
      <c r="AK368" s="46"/>
      <c r="AL368" s="9"/>
      <c r="AM368" s="32"/>
      <c r="AN368" s="42"/>
    </row>
    <row r="369" spans="1:40" x14ac:dyDescent="0.2">
      <c r="A369" s="60"/>
      <c r="B369" s="32"/>
      <c r="C369" s="32"/>
      <c r="D369" s="32"/>
      <c r="E369" s="32"/>
      <c r="F369" s="45"/>
      <c r="G369" s="45"/>
      <c r="H369" s="45"/>
      <c r="I369" s="32"/>
      <c r="J369" s="9"/>
      <c r="K369" s="9"/>
      <c r="L369" s="45"/>
      <c r="M369" s="45"/>
      <c r="N369" s="45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9"/>
      <c r="AF369" s="32"/>
      <c r="AG369" s="46"/>
      <c r="AH369" s="46"/>
      <c r="AI369" s="47"/>
      <c r="AJ369" s="47"/>
      <c r="AK369" s="46"/>
      <c r="AL369" s="9"/>
      <c r="AM369" s="32"/>
      <c r="AN369" s="42"/>
    </row>
    <row r="370" spans="1:40" x14ac:dyDescent="0.2">
      <c r="A370" s="60"/>
      <c r="B370" s="32"/>
      <c r="C370" s="32"/>
      <c r="D370" s="32"/>
      <c r="E370" s="32"/>
      <c r="F370" s="45"/>
      <c r="G370" s="45"/>
      <c r="H370" s="45"/>
      <c r="I370" s="32"/>
      <c r="J370" s="9"/>
      <c r="K370" s="9"/>
      <c r="L370" s="45"/>
      <c r="M370" s="45"/>
      <c r="N370" s="45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9"/>
      <c r="AF370" s="32"/>
      <c r="AG370" s="46"/>
      <c r="AH370" s="46"/>
      <c r="AI370" s="47"/>
      <c r="AJ370" s="47"/>
      <c r="AK370" s="46"/>
      <c r="AL370" s="9"/>
      <c r="AM370" s="32"/>
      <c r="AN370" s="42"/>
    </row>
    <row r="371" spans="1:40" x14ac:dyDescent="0.2">
      <c r="A371" s="60"/>
      <c r="B371" s="32"/>
      <c r="C371" s="32"/>
      <c r="D371" s="32"/>
      <c r="E371" s="32"/>
      <c r="F371" s="45"/>
      <c r="G371" s="45"/>
      <c r="H371" s="45"/>
      <c r="I371" s="32"/>
      <c r="J371" s="9"/>
      <c r="K371" s="9"/>
      <c r="L371" s="45"/>
      <c r="M371" s="45"/>
      <c r="N371" s="45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9"/>
      <c r="AF371" s="32"/>
      <c r="AG371" s="46"/>
      <c r="AH371" s="46"/>
      <c r="AI371" s="47"/>
      <c r="AJ371" s="47"/>
      <c r="AK371" s="46"/>
      <c r="AL371" s="9"/>
      <c r="AM371" s="32"/>
      <c r="AN371" s="42"/>
    </row>
    <row r="372" spans="1:40" x14ac:dyDescent="0.2">
      <c r="A372" s="60"/>
      <c r="B372" s="32"/>
      <c r="C372" s="32"/>
      <c r="D372" s="32"/>
      <c r="E372" s="32"/>
      <c r="F372" s="45"/>
      <c r="G372" s="45"/>
      <c r="H372" s="45"/>
      <c r="I372" s="32"/>
      <c r="J372" s="9"/>
      <c r="K372" s="9"/>
      <c r="L372" s="45"/>
      <c r="M372" s="45"/>
      <c r="N372" s="45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9"/>
      <c r="AF372" s="32"/>
      <c r="AG372" s="46"/>
      <c r="AH372" s="46"/>
      <c r="AI372" s="47"/>
      <c r="AJ372" s="47"/>
      <c r="AK372" s="46"/>
      <c r="AL372" s="9"/>
      <c r="AM372" s="32"/>
      <c r="AN372" s="42"/>
    </row>
    <row r="373" spans="1:40" x14ac:dyDescent="0.2">
      <c r="A373" s="60"/>
      <c r="B373" s="32"/>
      <c r="C373" s="32"/>
      <c r="D373" s="32"/>
      <c r="E373" s="32"/>
      <c r="F373" s="45"/>
      <c r="G373" s="45"/>
      <c r="H373" s="45"/>
      <c r="I373" s="32"/>
      <c r="J373" s="9"/>
      <c r="K373" s="9"/>
      <c r="L373" s="45"/>
      <c r="M373" s="45"/>
      <c r="N373" s="45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9"/>
      <c r="AF373" s="32"/>
      <c r="AG373" s="46"/>
      <c r="AH373" s="46"/>
      <c r="AI373" s="47"/>
      <c r="AJ373" s="47"/>
      <c r="AK373" s="46"/>
      <c r="AL373" s="9"/>
      <c r="AM373" s="32"/>
      <c r="AN373" s="42"/>
    </row>
    <row r="374" spans="1:40" x14ac:dyDescent="0.2">
      <c r="A374" s="60"/>
      <c r="B374" s="32"/>
      <c r="C374" s="32"/>
      <c r="D374" s="32"/>
      <c r="E374" s="32"/>
      <c r="F374" s="45"/>
      <c r="G374" s="45"/>
      <c r="H374" s="45"/>
      <c r="I374" s="32"/>
      <c r="J374" s="9"/>
      <c r="K374" s="9"/>
      <c r="L374" s="45"/>
      <c r="M374" s="45"/>
      <c r="N374" s="45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9"/>
      <c r="AF374" s="32"/>
      <c r="AG374" s="46"/>
      <c r="AH374" s="46"/>
      <c r="AI374" s="47"/>
      <c r="AJ374" s="47"/>
      <c r="AK374" s="46"/>
      <c r="AL374" s="9"/>
      <c r="AM374" s="32"/>
      <c r="AN374" s="42"/>
    </row>
    <row r="375" spans="1:40" x14ac:dyDescent="0.2">
      <c r="A375" s="60"/>
      <c r="B375" s="32"/>
      <c r="C375" s="32"/>
      <c r="D375" s="32"/>
      <c r="E375" s="32"/>
      <c r="F375" s="45"/>
      <c r="G375" s="45"/>
      <c r="H375" s="45"/>
      <c r="I375" s="32"/>
      <c r="J375" s="9"/>
      <c r="K375" s="9"/>
      <c r="L375" s="45"/>
      <c r="M375" s="45"/>
      <c r="N375" s="45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9"/>
      <c r="AF375" s="32"/>
      <c r="AG375" s="46"/>
      <c r="AH375" s="46"/>
      <c r="AI375" s="47"/>
      <c r="AJ375" s="47"/>
      <c r="AK375" s="46"/>
      <c r="AL375" s="9"/>
      <c r="AM375" s="32"/>
      <c r="AN375" s="42"/>
    </row>
    <row r="376" spans="1:40" x14ac:dyDescent="0.2">
      <c r="A376" s="60"/>
      <c r="B376" s="32"/>
      <c r="C376" s="32"/>
      <c r="D376" s="32"/>
      <c r="E376" s="32"/>
      <c r="F376" s="45"/>
      <c r="G376" s="45"/>
      <c r="H376" s="45"/>
      <c r="I376" s="32"/>
      <c r="J376" s="9"/>
      <c r="K376" s="9"/>
      <c r="L376" s="45"/>
      <c r="M376" s="45"/>
      <c r="N376" s="45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9"/>
      <c r="AF376" s="32"/>
      <c r="AG376" s="46"/>
      <c r="AH376" s="46"/>
      <c r="AI376" s="47"/>
      <c r="AJ376" s="47"/>
      <c r="AK376" s="46"/>
      <c r="AL376" s="9"/>
      <c r="AM376" s="32"/>
      <c r="AN376" s="42"/>
    </row>
    <row r="377" spans="1:40" x14ac:dyDescent="0.2">
      <c r="A377" s="60"/>
      <c r="B377" s="32"/>
      <c r="C377" s="32"/>
      <c r="D377" s="32"/>
      <c r="E377" s="32"/>
      <c r="F377" s="45"/>
      <c r="G377" s="45"/>
      <c r="H377" s="45"/>
      <c r="I377" s="32"/>
      <c r="J377" s="9"/>
      <c r="K377" s="9"/>
      <c r="L377" s="45"/>
      <c r="M377" s="45"/>
      <c r="N377" s="45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9"/>
      <c r="AF377" s="32"/>
      <c r="AG377" s="46"/>
      <c r="AH377" s="46"/>
      <c r="AI377" s="47"/>
      <c r="AJ377" s="47"/>
      <c r="AK377" s="46"/>
      <c r="AL377" s="9"/>
      <c r="AM377" s="32"/>
      <c r="AN377" s="42"/>
    </row>
    <row r="378" spans="1:40" x14ac:dyDescent="0.2">
      <c r="A378" s="60"/>
      <c r="B378" s="32"/>
      <c r="C378" s="32"/>
      <c r="D378" s="32"/>
      <c r="E378" s="32"/>
      <c r="F378" s="45"/>
      <c r="G378" s="45"/>
      <c r="H378" s="45"/>
      <c r="I378" s="32"/>
      <c r="J378" s="9"/>
      <c r="K378" s="9"/>
      <c r="L378" s="45"/>
      <c r="M378" s="45"/>
      <c r="N378" s="45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9"/>
      <c r="AF378" s="32"/>
      <c r="AG378" s="46"/>
      <c r="AH378" s="46"/>
      <c r="AI378" s="47"/>
      <c r="AJ378" s="47"/>
      <c r="AK378" s="46"/>
      <c r="AL378" s="9"/>
      <c r="AM378" s="32"/>
      <c r="AN378" s="42"/>
    </row>
    <row r="379" spans="1:40" x14ac:dyDescent="0.2">
      <c r="A379" s="60"/>
      <c r="B379" s="32"/>
      <c r="C379" s="32"/>
      <c r="D379" s="32"/>
      <c r="E379" s="32"/>
      <c r="F379" s="45"/>
      <c r="G379" s="45"/>
      <c r="H379" s="45"/>
      <c r="I379" s="32"/>
      <c r="J379" s="9"/>
      <c r="K379" s="9"/>
      <c r="L379" s="45"/>
      <c r="M379" s="45"/>
      <c r="N379" s="45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9"/>
      <c r="AF379" s="32"/>
      <c r="AG379" s="46"/>
      <c r="AH379" s="46"/>
      <c r="AI379" s="47"/>
      <c r="AJ379" s="47"/>
      <c r="AK379" s="46"/>
      <c r="AL379" s="9"/>
      <c r="AM379" s="32"/>
      <c r="AN379" s="42"/>
    </row>
    <row r="380" spans="1:40" x14ac:dyDescent="0.2">
      <c r="A380" s="60"/>
      <c r="B380" s="32"/>
      <c r="C380" s="32"/>
      <c r="D380" s="32"/>
      <c r="E380" s="32"/>
      <c r="F380" s="45"/>
      <c r="G380" s="45"/>
      <c r="H380" s="45"/>
      <c r="I380" s="32"/>
      <c r="J380" s="9"/>
      <c r="K380" s="9"/>
      <c r="L380" s="45"/>
      <c r="M380" s="45"/>
      <c r="N380" s="45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9"/>
      <c r="AF380" s="32"/>
      <c r="AG380" s="46"/>
      <c r="AH380" s="46"/>
      <c r="AI380" s="47"/>
      <c r="AJ380" s="47"/>
      <c r="AK380" s="46"/>
      <c r="AL380" s="9"/>
      <c r="AM380" s="32"/>
      <c r="AN380" s="42"/>
    </row>
    <row r="381" spans="1:40" x14ac:dyDescent="0.2">
      <c r="A381" s="60"/>
      <c r="B381" s="32"/>
      <c r="C381" s="32"/>
      <c r="D381" s="32"/>
      <c r="E381" s="32"/>
      <c r="F381" s="45"/>
      <c r="G381" s="45"/>
      <c r="H381" s="45"/>
      <c r="I381" s="32"/>
      <c r="J381" s="9"/>
      <c r="K381" s="9"/>
      <c r="L381" s="45"/>
      <c r="M381" s="45"/>
      <c r="N381" s="45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9"/>
      <c r="AF381" s="32"/>
      <c r="AG381" s="46"/>
      <c r="AH381" s="46"/>
      <c r="AI381" s="47"/>
      <c r="AJ381" s="47"/>
      <c r="AK381" s="46"/>
      <c r="AL381" s="9"/>
      <c r="AM381" s="32"/>
      <c r="AN381" s="42"/>
    </row>
    <row r="382" spans="1:40" x14ac:dyDescent="0.2">
      <c r="A382" s="60"/>
      <c r="B382" s="32"/>
      <c r="C382" s="32"/>
      <c r="D382" s="32"/>
      <c r="E382" s="32"/>
      <c r="F382" s="45"/>
      <c r="G382" s="45"/>
      <c r="H382" s="45"/>
      <c r="I382" s="32"/>
      <c r="J382" s="9"/>
      <c r="K382" s="9"/>
      <c r="L382" s="45"/>
      <c r="M382" s="45"/>
      <c r="N382" s="45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9"/>
      <c r="AF382" s="32"/>
      <c r="AG382" s="46"/>
      <c r="AH382" s="46"/>
      <c r="AI382" s="47"/>
      <c r="AJ382" s="47"/>
      <c r="AK382" s="46"/>
      <c r="AL382" s="9"/>
      <c r="AM382" s="32"/>
      <c r="AN382" s="42"/>
    </row>
    <row r="383" spans="1:40" x14ac:dyDescent="0.2">
      <c r="A383" s="60"/>
      <c r="B383" s="32"/>
      <c r="C383" s="32"/>
      <c r="D383" s="32"/>
      <c r="E383" s="32"/>
      <c r="F383" s="45"/>
      <c r="G383" s="45"/>
      <c r="H383" s="45"/>
      <c r="I383" s="32"/>
      <c r="J383" s="9"/>
      <c r="K383" s="9"/>
      <c r="L383" s="45"/>
      <c r="M383" s="45"/>
      <c r="N383" s="45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9"/>
      <c r="AF383" s="32"/>
      <c r="AG383" s="46"/>
      <c r="AH383" s="46"/>
      <c r="AI383" s="47"/>
      <c r="AJ383" s="47"/>
      <c r="AK383" s="46"/>
      <c r="AL383" s="9"/>
      <c r="AM383" s="32"/>
      <c r="AN383" s="42"/>
    </row>
    <row r="384" spans="1:40" x14ac:dyDescent="0.2">
      <c r="A384" s="60"/>
      <c r="B384" s="32"/>
      <c r="C384" s="32"/>
      <c r="D384" s="32"/>
      <c r="E384" s="32"/>
      <c r="F384" s="45"/>
      <c r="G384" s="45"/>
      <c r="H384" s="45"/>
      <c r="I384" s="32"/>
      <c r="J384" s="9"/>
      <c r="K384" s="9"/>
      <c r="L384" s="45"/>
      <c r="M384" s="45"/>
      <c r="N384" s="45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9"/>
      <c r="AF384" s="32"/>
      <c r="AG384" s="46"/>
      <c r="AH384" s="46"/>
      <c r="AI384" s="47"/>
      <c r="AJ384" s="47"/>
      <c r="AK384" s="46"/>
      <c r="AL384" s="9"/>
      <c r="AM384" s="32"/>
      <c r="AN384" s="42"/>
    </row>
    <row r="385" spans="1:40" x14ac:dyDescent="0.2">
      <c r="A385" s="60"/>
      <c r="B385" s="32"/>
      <c r="C385" s="32"/>
      <c r="D385" s="32"/>
      <c r="E385" s="32"/>
      <c r="F385" s="45"/>
      <c r="G385" s="45"/>
      <c r="H385" s="45"/>
      <c r="I385" s="32"/>
      <c r="J385" s="9"/>
      <c r="K385" s="9"/>
      <c r="L385" s="45"/>
      <c r="M385" s="45"/>
      <c r="N385" s="45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9"/>
      <c r="AF385" s="32"/>
      <c r="AG385" s="46"/>
      <c r="AH385" s="46"/>
      <c r="AI385" s="47"/>
      <c r="AJ385" s="47"/>
      <c r="AK385" s="46"/>
      <c r="AL385" s="9"/>
      <c r="AM385" s="32"/>
      <c r="AN385" s="42"/>
    </row>
    <row r="386" spans="1:40" x14ac:dyDescent="0.2">
      <c r="A386" s="60"/>
      <c r="B386" s="32"/>
      <c r="C386" s="32"/>
      <c r="D386" s="32"/>
      <c r="E386" s="32"/>
      <c r="F386" s="45"/>
      <c r="G386" s="45"/>
      <c r="H386" s="45"/>
      <c r="I386" s="32"/>
      <c r="J386" s="9"/>
      <c r="K386" s="9"/>
      <c r="L386" s="45"/>
      <c r="M386" s="45"/>
      <c r="N386" s="45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9"/>
      <c r="AF386" s="32"/>
      <c r="AG386" s="46"/>
      <c r="AH386" s="46"/>
      <c r="AI386" s="47"/>
      <c r="AJ386" s="47"/>
      <c r="AK386" s="46"/>
      <c r="AL386" s="9"/>
      <c r="AM386" s="32"/>
      <c r="AN386" s="42"/>
    </row>
    <row r="387" spans="1:40" x14ac:dyDescent="0.2">
      <c r="A387" s="60"/>
      <c r="B387" s="32"/>
      <c r="C387" s="32"/>
      <c r="D387" s="32"/>
      <c r="E387" s="32"/>
      <c r="F387" s="45"/>
      <c r="G387" s="45"/>
      <c r="H387" s="45"/>
      <c r="I387" s="32"/>
      <c r="J387" s="9"/>
      <c r="K387" s="9"/>
      <c r="L387" s="45"/>
      <c r="M387" s="45"/>
      <c r="N387" s="45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9"/>
      <c r="AF387" s="32"/>
      <c r="AG387" s="46"/>
      <c r="AH387" s="46"/>
      <c r="AI387" s="47"/>
      <c r="AJ387" s="47"/>
      <c r="AK387" s="46"/>
      <c r="AL387" s="9"/>
      <c r="AM387" s="32"/>
      <c r="AN387" s="42"/>
    </row>
    <row r="388" spans="1:40" x14ac:dyDescent="0.2">
      <c r="A388" s="60"/>
      <c r="B388" s="32"/>
      <c r="C388" s="32"/>
      <c r="D388" s="32"/>
      <c r="E388" s="32"/>
      <c r="F388" s="45"/>
      <c r="G388" s="45"/>
      <c r="H388" s="45"/>
      <c r="I388" s="32"/>
      <c r="J388" s="9"/>
      <c r="K388" s="9"/>
      <c r="L388" s="45"/>
      <c r="M388" s="45"/>
      <c r="N388" s="45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9"/>
      <c r="AF388" s="32"/>
      <c r="AG388" s="46"/>
      <c r="AH388" s="46"/>
      <c r="AI388" s="47"/>
      <c r="AJ388" s="47"/>
      <c r="AK388" s="46"/>
      <c r="AL388" s="9"/>
      <c r="AM388" s="32"/>
      <c r="AN388" s="42"/>
    </row>
    <row r="389" spans="1:40" x14ac:dyDescent="0.2">
      <c r="A389" s="60"/>
      <c r="B389" s="32"/>
      <c r="C389" s="32"/>
      <c r="D389" s="32"/>
      <c r="E389" s="32"/>
      <c r="F389" s="45"/>
      <c r="G389" s="45"/>
      <c r="H389" s="45"/>
      <c r="I389" s="32"/>
      <c r="J389" s="9"/>
      <c r="K389" s="9"/>
      <c r="L389" s="45"/>
      <c r="M389" s="45"/>
      <c r="N389" s="45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9"/>
      <c r="AF389" s="32"/>
      <c r="AG389" s="46"/>
      <c r="AH389" s="46"/>
      <c r="AI389" s="47"/>
      <c r="AJ389" s="47"/>
      <c r="AK389" s="46"/>
      <c r="AL389" s="9"/>
      <c r="AM389" s="32"/>
      <c r="AN389" s="42"/>
    </row>
    <row r="390" spans="1:40" x14ac:dyDescent="0.2">
      <c r="A390" s="60"/>
      <c r="B390" s="32"/>
      <c r="C390" s="32"/>
      <c r="D390" s="32"/>
      <c r="E390" s="32"/>
      <c r="F390" s="45"/>
      <c r="G390" s="45"/>
      <c r="H390" s="45"/>
      <c r="I390" s="32"/>
      <c r="J390" s="9"/>
      <c r="K390" s="9"/>
      <c r="L390" s="45"/>
      <c r="M390" s="45"/>
      <c r="N390" s="45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9"/>
      <c r="AF390" s="32"/>
      <c r="AG390" s="46"/>
      <c r="AH390" s="46"/>
      <c r="AI390" s="47"/>
      <c r="AJ390" s="47"/>
      <c r="AK390" s="46"/>
      <c r="AL390" s="9"/>
      <c r="AM390" s="32"/>
      <c r="AN390" s="42"/>
    </row>
    <row r="391" spans="1:40" x14ac:dyDescent="0.2">
      <c r="A391" s="60"/>
      <c r="B391" s="32"/>
      <c r="C391" s="32"/>
      <c r="D391" s="32"/>
      <c r="E391" s="32"/>
      <c r="F391" s="45"/>
      <c r="G391" s="45"/>
      <c r="H391" s="45"/>
      <c r="I391" s="32"/>
      <c r="J391" s="9"/>
      <c r="K391" s="9"/>
      <c r="L391" s="45"/>
      <c r="M391" s="45"/>
      <c r="N391" s="45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9"/>
      <c r="AF391" s="32"/>
      <c r="AG391" s="46"/>
      <c r="AH391" s="46"/>
      <c r="AI391" s="47"/>
      <c r="AJ391" s="47"/>
      <c r="AK391" s="46"/>
      <c r="AL391" s="9"/>
      <c r="AM391" s="32"/>
      <c r="AN391" s="42"/>
    </row>
    <row r="392" spans="1:40" x14ac:dyDescent="0.2">
      <c r="A392" s="60"/>
      <c r="B392" s="32"/>
      <c r="C392" s="32"/>
      <c r="D392" s="32"/>
      <c r="E392" s="32"/>
      <c r="F392" s="45"/>
      <c r="G392" s="45"/>
      <c r="H392" s="45"/>
      <c r="I392" s="32"/>
      <c r="J392" s="9"/>
      <c r="K392" s="9"/>
      <c r="L392" s="45"/>
      <c r="M392" s="45"/>
      <c r="N392" s="45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9"/>
      <c r="AF392" s="32"/>
      <c r="AG392" s="46"/>
      <c r="AH392" s="46"/>
      <c r="AI392" s="47"/>
      <c r="AJ392" s="47"/>
      <c r="AK392" s="46"/>
      <c r="AL392" s="9"/>
      <c r="AM392" s="32"/>
      <c r="AN392" s="42"/>
    </row>
    <row r="393" spans="1:40" x14ac:dyDescent="0.2">
      <c r="A393" s="60"/>
      <c r="B393" s="32"/>
      <c r="C393" s="32"/>
      <c r="D393" s="32"/>
      <c r="E393" s="32"/>
      <c r="F393" s="45"/>
      <c r="G393" s="45"/>
      <c r="H393" s="45"/>
      <c r="I393" s="32"/>
      <c r="J393" s="9"/>
      <c r="K393" s="9"/>
      <c r="L393" s="45"/>
      <c r="M393" s="45"/>
      <c r="N393" s="45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9"/>
      <c r="AF393" s="32"/>
      <c r="AG393" s="46"/>
      <c r="AH393" s="46"/>
      <c r="AI393" s="47"/>
      <c r="AJ393" s="47"/>
      <c r="AK393" s="46"/>
      <c r="AL393" s="9"/>
      <c r="AM393" s="32"/>
      <c r="AN393" s="42"/>
    </row>
    <row r="394" spans="1:40" x14ac:dyDescent="0.2">
      <c r="A394" s="60"/>
      <c r="B394" s="32"/>
      <c r="C394" s="32"/>
      <c r="D394" s="32"/>
      <c r="E394" s="32"/>
      <c r="F394" s="45"/>
      <c r="G394" s="45"/>
      <c r="H394" s="45"/>
      <c r="I394" s="32"/>
      <c r="J394" s="9"/>
      <c r="K394" s="9"/>
      <c r="L394" s="45"/>
      <c r="M394" s="45"/>
      <c r="N394" s="45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9"/>
      <c r="AF394" s="32"/>
      <c r="AG394" s="46"/>
      <c r="AH394" s="46"/>
      <c r="AI394" s="47"/>
      <c r="AJ394" s="47"/>
      <c r="AK394" s="46"/>
      <c r="AL394" s="9"/>
      <c r="AM394" s="32"/>
      <c r="AN394" s="42"/>
    </row>
    <row r="395" spans="1:40" x14ac:dyDescent="0.2">
      <c r="A395" s="60"/>
      <c r="B395" s="32"/>
      <c r="C395" s="32"/>
      <c r="D395" s="32"/>
      <c r="E395" s="32"/>
      <c r="F395" s="45"/>
      <c r="G395" s="45"/>
      <c r="H395" s="45"/>
      <c r="I395" s="32"/>
      <c r="J395" s="9"/>
      <c r="K395" s="9"/>
      <c r="L395" s="45"/>
      <c r="M395" s="45"/>
      <c r="N395" s="45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9"/>
      <c r="AF395" s="32"/>
      <c r="AG395" s="46"/>
      <c r="AH395" s="46"/>
      <c r="AI395" s="47"/>
      <c r="AJ395" s="47"/>
      <c r="AK395" s="46"/>
      <c r="AL395" s="9"/>
      <c r="AM395" s="32"/>
      <c r="AN395" s="42"/>
    </row>
    <row r="396" spans="1:40" x14ac:dyDescent="0.2">
      <c r="A396" s="60"/>
      <c r="B396" s="32"/>
      <c r="C396" s="32"/>
      <c r="D396" s="32"/>
      <c r="E396" s="32"/>
      <c r="F396" s="45"/>
      <c r="G396" s="45"/>
      <c r="H396" s="45"/>
      <c r="I396" s="32"/>
      <c r="J396" s="9"/>
      <c r="K396" s="9"/>
      <c r="L396" s="45"/>
      <c r="M396" s="45"/>
      <c r="N396" s="45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9"/>
      <c r="AF396" s="32"/>
      <c r="AG396" s="46"/>
      <c r="AH396" s="46"/>
      <c r="AI396" s="47"/>
      <c r="AJ396" s="47"/>
      <c r="AK396" s="46"/>
      <c r="AL396" s="9"/>
      <c r="AM396" s="32"/>
      <c r="AN396" s="42"/>
    </row>
    <row r="397" spans="1:40" x14ac:dyDescent="0.2">
      <c r="A397" s="60"/>
      <c r="B397" s="32"/>
      <c r="C397" s="32"/>
      <c r="D397" s="32"/>
      <c r="E397" s="32"/>
      <c r="F397" s="45"/>
      <c r="G397" s="45"/>
      <c r="H397" s="45"/>
      <c r="I397" s="32"/>
      <c r="J397" s="9"/>
      <c r="K397" s="9"/>
      <c r="L397" s="45"/>
      <c r="M397" s="45"/>
      <c r="N397" s="45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9"/>
      <c r="AF397" s="32"/>
      <c r="AG397" s="46"/>
      <c r="AH397" s="46"/>
      <c r="AI397" s="47"/>
      <c r="AJ397" s="47"/>
      <c r="AK397" s="46"/>
      <c r="AL397" s="9"/>
      <c r="AM397" s="32"/>
      <c r="AN397" s="42"/>
    </row>
    <row r="398" spans="1:40" x14ac:dyDescent="0.2">
      <c r="A398" s="60"/>
      <c r="B398" s="32"/>
      <c r="C398" s="32"/>
      <c r="D398" s="32"/>
      <c r="E398" s="32"/>
      <c r="F398" s="45"/>
      <c r="G398" s="45"/>
      <c r="H398" s="45"/>
      <c r="I398" s="32"/>
      <c r="J398" s="9"/>
      <c r="K398" s="9"/>
      <c r="L398" s="45"/>
      <c r="M398" s="45"/>
      <c r="N398" s="45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9"/>
      <c r="AF398" s="32"/>
      <c r="AG398" s="46"/>
      <c r="AH398" s="46"/>
      <c r="AI398" s="47"/>
      <c r="AJ398" s="47"/>
      <c r="AK398" s="46"/>
      <c r="AL398" s="9"/>
      <c r="AM398" s="32"/>
      <c r="AN398" s="42"/>
    </row>
    <row r="399" spans="1:40" x14ac:dyDescent="0.2">
      <c r="A399" s="60"/>
      <c r="B399" s="32"/>
      <c r="C399" s="32"/>
      <c r="D399" s="32"/>
      <c r="E399" s="32"/>
      <c r="F399" s="45"/>
      <c r="G399" s="45"/>
      <c r="H399" s="45"/>
      <c r="I399" s="32"/>
      <c r="J399" s="9"/>
      <c r="K399" s="9"/>
      <c r="L399" s="45"/>
      <c r="M399" s="45"/>
      <c r="N399" s="45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9"/>
      <c r="AF399" s="32"/>
      <c r="AG399" s="46"/>
      <c r="AH399" s="46"/>
      <c r="AI399" s="47"/>
      <c r="AJ399" s="47"/>
      <c r="AK399" s="46"/>
      <c r="AL399" s="9"/>
      <c r="AM399" s="32"/>
      <c r="AN399" s="42"/>
    </row>
    <row r="400" spans="1:40" x14ac:dyDescent="0.2">
      <c r="A400" s="60"/>
      <c r="B400" s="32"/>
      <c r="C400" s="32"/>
      <c r="D400" s="32"/>
      <c r="E400" s="32"/>
      <c r="F400" s="45"/>
      <c r="G400" s="45"/>
      <c r="H400" s="45"/>
      <c r="I400" s="32"/>
      <c r="J400" s="9"/>
      <c r="K400" s="9"/>
      <c r="L400" s="45"/>
      <c r="M400" s="45"/>
      <c r="N400" s="45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9"/>
      <c r="AF400" s="32"/>
      <c r="AG400" s="46"/>
      <c r="AH400" s="46"/>
      <c r="AI400" s="47"/>
      <c r="AJ400" s="47"/>
      <c r="AK400" s="46"/>
      <c r="AL400" s="9"/>
      <c r="AM400" s="32"/>
      <c r="AN400" s="42"/>
    </row>
    <row r="401" spans="1:40" x14ac:dyDescent="0.2">
      <c r="A401" s="60"/>
      <c r="B401" s="32"/>
      <c r="C401" s="32"/>
      <c r="D401" s="32"/>
      <c r="E401" s="32"/>
      <c r="F401" s="45"/>
      <c r="G401" s="45"/>
      <c r="H401" s="45"/>
      <c r="I401" s="32"/>
      <c r="J401" s="9"/>
      <c r="K401" s="9"/>
      <c r="L401" s="45"/>
      <c r="M401" s="45"/>
      <c r="N401" s="45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9"/>
      <c r="AF401" s="32"/>
      <c r="AG401" s="46"/>
      <c r="AH401" s="46"/>
      <c r="AI401" s="47"/>
      <c r="AJ401" s="47"/>
      <c r="AK401" s="46"/>
      <c r="AL401" s="9"/>
      <c r="AM401" s="32"/>
      <c r="AN401" s="42"/>
    </row>
    <row r="402" spans="1:40" x14ac:dyDescent="0.2">
      <c r="A402" s="60"/>
      <c r="B402" s="32"/>
      <c r="C402" s="32"/>
      <c r="D402" s="32"/>
      <c r="E402" s="32"/>
      <c r="F402" s="45"/>
      <c r="G402" s="45"/>
      <c r="H402" s="45"/>
      <c r="I402" s="32"/>
      <c r="J402" s="9"/>
      <c r="K402" s="9"/>
      <c r="L402" s="45"/>
      <c r="M402" s="45"/>
      <c r="N402" s="45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9"/>
      <c r="AF402" s="32"/>
      <c r="AG402" s="46"/>
      <c r="AH402" s="46"/>
      <c r="AI402" s="47"/>
      <c r="AJ402" s="47"/>
      <c r="AK402" s="46"/>
      <c r="AL402" s="9"/>
      <c r="AM402" s="32"/>
      <c r="AN402" s="42"/>
    </row>
    <row r="403" spans="1:40" x14ac:dyDescent="0.2">
      <c r="A403" s="60"/>
      <c r="B403" s="32"/>
      <c r="C403" s="32"/>
      <c r="D403" s="32"/>
      <c r="E403" s="32"/>
      <c r="F403" s="45"/>
      <c r="G403" s="45"/>
      <c r="H403" s="45"/>
      <c r="I403" s="32"/>
      <c r="J403" s="9"/>
      <c r="K403" s="9"/>
      <c r="L403" s="45"/>
      <c r="M403" s="45"/>
      <c r="N403" s="45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9"/>
      <c r="AF403" s="32"/>
      <c r="AG403" s="46"/>
      <c r="AH403" s="46"/>
      <c r="AI403" s="47"/>
      <c r="AJ403" s="47"/>
      <c r="AK403" s="46"/>
      <c r="AL403" s="9"/>
      <c r="AM403" s="32"/>
      <c r="AN403" s="42"/>
    </row>
    <row r="404" spans="1:40" x14ac:dyDescent="0.2">
      <c r="A404" s="60"/>
      <c r="B404" s="32"/>
      <c r="C404" s="32"/>
      <c r="D404" s="32"/>
      <c r="E404" s="32"/>
      <c r="F404" s="45"/>
      <c r="G404" s="45"/>
      <c r="H404" s="45"/>
      <c r="I404" s="32"/>
      <c r="J404" s="9"/>
      <c r="K404" s="9"/>
      <c r="L404" s="45"/>
      <c r="M404" s="45"/>
      <c r="N404" s="45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9"/>
      <c r="AF404" s="32"/>
      <c r="AG404" s="46"/>
      <c r="AH404" s="46"/>
      <c r="AI404" s="47"/>
      <c r="AJ404" s="47"/>
      <c r="AK404" s="46"/>
      <c r="AL404" s="9"/>
      <c r="AM404" s="32"/>
      <c r="AN404" s="42"/>
    </row>
    <row r="405" spans="1:40" x14ac:dyDescent="0.2">
      <c r="A405" s="60"/>
      <c r="B405" s="32"/>
      <c r="C405" s="32"/>
      <c r="D405" s="32"/>
      <c r="E405" s="32"/>
      <c r="F405" s="45"/>
      <c r="G405" s="45"/>
      <c r="H405" s="45"/>
      <c r="I405" s="32"/>
      <c r="J405" s="9"/>
      <c r="K405" s="9"/>
      <c r="L405" s="45"/>
      <c r="M405" s="45"/>
      <c r="N405" s="45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9"/>
      <c r="AF405" s="32"/>
      <c r="AG405" s="46"/>
      <c r="AH405" s="46"/>
      <c r="AI405" s="47"/>
      <c r="AJ405" s="47"/>
      <c r="AK405" s="46"/>
      <c r="AL405" s="9"/>
      <c r="AM405" s="32"/>
      <c r="AN405" s="42"/>
    </row>
    <row r="406" spans="1:40" x14ac:dyDescent="0.2">
      <c r="A406" s="60"/>
      <c r="B406" s="32"/>
      <c r="C406" s="32"/>
      <c r="D406" s="32"/>
      <c r="E406" s="32"/>
      <c r="F406" s="45"/>
      <c r="G406" s="45"/>
      <c r="H406" s="45"/>
      <c r="I406" s="32"/>
      <c r="J406" s="9"/>
      <c r="K406" s="9"/>
      <c r="L406" s="45"/>
      <c r="M406" s="45"/>
      <c r="N406" s="45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9"/>
      <c r="AF406" s="32"/>
      <c r="AG406" s="46"/>
      <c r="AH406" s="46"/>
      <c r="AI406" s="47"/>
      <c r="AJ406" s="47"/>
      <c r="AK406" s="46"/>
      <c r="AL406" s="9"/>
      <c r="AM406" s="32"/>
      <c r="AN406" s="42"/>
    </row>
    <row r="407" spans="1:40" x14ac:dyDescent="0.2">
      <c r="A407" s="60"/>
      <c r="B407" s="32"/>
      <c r="C407" s="32"/>
      <c r="D407" s="32"/>
      <c r="E407" s="32"/>
      <c r="F407" s="45"/>
      <c r="G407" s="45"/>
      <c r="H407" s="45"/>
      <c r="I407" s="32"/>
      <c r="J407" s="9"/>
      <c r="K407" s="9"/>
      <c r="L407" s="45"/>
      <c r="M407" s="45"/>
      <c r="N407" s="45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9"/>
      <c r="AF407" s="32"/>
      <c r="AG407" s="46"/>
      <c r="AH407" s="46"/>
      <c r="AI407" s="47"/>
      <c r="AJ407" s="47"/>
      <c r="AK407" s="46"/>
      <c r="AL407" s="9"/>
      <c r="AM407" s="32"/>
      <c r="AN407" s="42"/>
    </row>
    <row r="408" spans="1:40" x14ac:dyDescent="0.2">
      <c r="A408" s="60"/>
      <c r="B408" s="32"/>
      <c r="C408" s="32"/>
      <c r="D408" s="32"/>
      <c r="E408" s="32"/>
      <c r="F408" s="45"/>
      <c r="G408" s="45"/>
      <c r="H408" s="45"/>
      <c r="I408" s="32"/>
      <c r="J408" s="9"/>
      <c r="K408" s="9"/>
      <c r="L408" s="45"/>
      <c r="M408" s="45"/>
      <c r="N408" s="45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9"/>
      <c r="AF408" s="32"/>
      <c r="AG408" s="46"/>
      <c r="AH408" s="46"/>
      <c r="AI408" s="47"/>
      <c r="AJ408" s="47"/>
      <c r="AK408" s="46"/>
      <c r="AL408" s="9"/>
      <c r="AM408" s="32"/>
      <c r="AN408" s="42"/>
    </row>
    <row r="409" spans="1:40" x14ac:dyDescent="0.2">
      <c r="A409" s="60"/>
      <c r="B409" s="32"/>
      <c r="C409" s="32"/>
      <c r="D409" s="32"/>
      <c r="E409" s="32"/>
      <c r="F409" s="45"/>
      <c r="G409" s="45"/>
      <c r="H409" s="45"/>
      <c r="I409" s="32"/>
      <c r="J409" s="9"/>
      <c r="K409" s="9"/>
      <c r="L409" s="45"/>
      <c r="M409" s="45"/>
      <c r="N409" s="45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9"/>
      <c r="AF409" s="32"/>
      <c r="AG409" s="46"/>
      <c r="AH409" s="46"/>
      <c r="AI409" s="47"/>
      <c r="AJ409" s="47"/>
      <c r="AK409" s="46"/>
      <c r="AL409" s="9"/>
      <c r="AM409" s="32"/>
      <c r="AN409" s="42"/>
    </row>
    <row r="410" spans="1:40" x14ac:dyDescent="0.2">
      <c r="A410" s="60"/>
      <c r="B410" s="32"/>
      <c r="C410" s="32"/>
      <c r="D410" s="32"/>
      <c r="E410" s="32"/>
      <c r="F410" s="45"/>
      <c r="G410" s="45"/>
      <c r="H410" s="45"/>
      <c r="I410" s="32"/>
      <c r="J410" s="9"/>
      <c r="K410" s="9"/>
      <c r="L410" s="45"/>
      <c r="M410" s="45"/>
      <c r="N410" s="45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9"/>
      <c r="AF410" s="32"/>
      <c r="AG410" s="46"/>
      <c r="AH410" s="46"/>
      <c r="AI410" s="47"/>
      <c r="AJ410" s="47"/>
      <c r="AK410" s="46"/>
      <c r="AL410" s="9"/>
      <c r="AM410" s="32"/>
      <c r="AN410" s="42"/>
    </row>
    <row r="411" spans="1:40" x14ac:dyDescent="0.2">
      <c r="A411" s="60"/>
      <c r="B411" s="32"/>
      <c r="C411" s="32"/>
      <c r="D411" s="32"/>
      <c r="E411" s="32"/>
      <c r="F411" s="45"/>
      <c r="G411" s="45"/>
      <c r="H411" s="45"/>
      <c r="I411" s="32"/>
      <c r="J411" s="9"/>
      <c r="K411" s="9"/>
      <c r="L411" s="45"/>
      <c r="M411" s="45"/>
      <c r="N411" s="45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9"/>
      <c r="AF411" s="32"/>
      <c r="AG411" s="46"/>
      <c r="AH411" s="46"/>
      <c r="AI411" s="47"/>
      <c r="AJ411" s="47"/>
      <c r="AK411" s="46"/>
      <c r="AL411" s="9"/>
      <c r="AM411" s="32"/>
      <c r="AN411" s="42"/>
    </row>
    <row r="412" spans="1:40" x14ac:dyDescent="0.2">
      <c r="A412" s="60"/>
      <c r="B412" s="32"/>
      <c r="C412" s="32"/>
      <c r="D412" s="32"/>
      <c r="E412" s="32"/>
      <c r="F412" s="45"/>
      <c r="G412" s="45"/>
      <c r="H412" s="45"/>
      <c r="I412" s="32"/>
      <c r="J412" s="9"/>
      <c r="K412" s="9"/>
      <c r="L412" s="45"/>
      <c r="M412" s="45"/>
      <c r="N412" s="45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9"/>
      <c r="AF412" s="32"/>
      <c r="AG412" s="46"/>
      <c r="AH412" s="46"/>
      <c r="AI412" s="47"/>
      <c r="AJ412" s="47"/>
      <c r="AK412" s="46"/>
      <c r="AL412" s="9"/>
      <c r="AM412" s="32"/>
      <c r="AN412" s="42"/>
    </row>
    <row r="413" spans="1:40" x14ac:dyDescent="0.2">
      <c r="A413" s="60"/>
      <c r="B413" s="32"/>
      <c r="C413" s="32"/>
      <c r="D413" s="32"/>
      <c r="E413" s="32"/>
      <c r="F413" s="45"/>
      <c r="G413" s="45"/>
      <c r="H413" s="45"/>
      <c r="I413" s="32"/>
      <c r="J413" s="9"/>
      <c r="K413" s="9"/>
      <c r="L413" s="45"/>
      <c r="M413" s="45"/>
      <c r="N413" s="45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9"/>
      <c r="AF413" s="32"/>
      <c r="AG413" s="46"/>
      <c r="AH413" s="46"/>
      <c r="AI413" s="47"/>
      <c r="AJ413" s="47"/>
      <c r="AK413" s="46"/>
      <c r="AL413" s="9"/>
      <c r="AM413" s="32"/>
      <c r="AN413" s="42"/>
    </row>
    <row r="414" spans="1:40" x14ac:dyDescent="0.2">
      <c r="A414" s="60"/>
      <c r="B414" s="32"/>
      <c r="C414" s="32"/>
      <c r="D414" s="32"/>
      <c r="E414" s="32"/>
      <c r="F414" s="45"/>
      <c r="G414" s="45"/>
      <c r="H414" s="45"/>
      <c r="I414" s="32"/>
      <c r="J414" s="9"/>
      <c r="K414" s="9"/>
      <c r="L414" s="45"/>
      <c r="M414" s="45"/>
      <c r="N414" s="45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9"/>
      <c r="AF414" s="32"/>
      <c r="AG414" s="46"/>
      <c r="AH414" s="46"/>
      <c r="AI414" s="47"/>
      <c r="AJ414" s="47"/>
      <c r="AK414" s="46"/>
      <c r="AL414" s="9"/>
      <c r="AM414" s="32"/>
      <c r="AN414" s="42"/>
    </row>
    <row r="415" spans="1:40" x14ac:dyDescent="0.2">
      <c r="A415" s="60"/>
      <c r="B415" s="32"/>
      <c r="C415" s="32"/>
      <c r="D415" s="32"/>
      <c r="E415" s="32"/>
      <c r="F415" s="45"/>
      <c r="G415" s="45"/>
      <c r="H415" s="45"/>
      <c r="I415" s="32"/>
      <c r="J415" s="9"/>
      <c r="K415" s="9"/>
      <c r="L415" s="45"/>
      <c r="M415" s="45"/>
      <c r="N415" s="45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9"/>
      <c r="AF415" s="32"/>
      <c r="AG415" s="46"/>
      <c r="AH415" s="46"/>
      <c r="AI415" s="47"/>
      <c r="AJ415" s="47"/>
      <c r="AK415" s="46"/>
      <c r="AL415" s="9"/>
      <c r="AM415" s="32"/>
      <c r="AN415" s="42"/>
    </row>
    <row r="416" spans="1:40" x14ac:dyDescent="0.2">
      <c r="A416" s="60"/>
      <c r="B416" s="32"/>
      <c r="C416" s="32"/>
      <c r="D416" s="32"/>
      <c r="E416" s="32"/>
      <c r="F416" s="45"/>
      <c r="G416" s="45"/>
      <c r="H416" s="45"/>
      <c r="I416" s="32"/>
      <c r="J416" s="9"/>
      <c r="K416" s="9"/>
      <c r="L416" s="45"/>
      <c r="M416" s="45"/>
      <c r="N416" s="45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9"/>
      <c r="AF416" s="32"/>
      <c r="AG416" s="46"/>
      <c r="AH416" s="46"/>
      <c r="AI416" s="47"/>
      <c r="AJ416" s="47"/>
      <c r="AK416" s="46"/>
      <c r="AL416" s="9"/>
      <c r="AM416" s="32"/>
      <c r="AN416" s="42"/>
    </row>
    <row r="417" spans="1:40" x14ac:dyDescent="0.2">
      <c r="A417" s="60"/>
      <c r="B417" s="32"/>
      <c r="C417" s="32"/>
      <c r="D417" s="32"/>
      <c r="E417" s="32"/>
      <c r="F417" s="45"/>
      <c r="G417" s="45"/>
      <c r="H417" s="45"/>
      <c r="I417" s="32"/>
      <c r="J417" s="9"/>
      <c r="K417" s="9"/>
      <c r="L417" s="45"/>
      <c r="M417" s="45"/>
      <c r="N417" s="45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9"/>
      <c r="AF417" s="32"/>
      <c r="AG417" s="46"/>
      <c r="AH417" s="46"/>
      <c r="AI417" s="47"/>
      <c r="AJ417" s="47"/>
      <c r="AK417" s="46"/>
      <c r="AL417" s="9"/>
      <c r="AM417" s="32"/>
      <c r="AN417" s="42"/>
    </row>
    <row r="418" spans="1:40" x14ac:dyDescent="0.2">
      <c r="A418" s="60"/>
      <c r="B418" s="32"/>
      <c r="C418" s="32"/>
      <c r="D418" s="32"/>
      <c r="E418" s="32"/>
      <c r="F418" s="45"/>
      <c r="G418" s="45"/>
      <c r="H418" s="45"/>
      <c r="I418" s="32"/>
      <c r="J418" s="9"/>
      <c r="K418" s="9"/>
      <c r="L418" s="45"/>
      <c r="M418" s="45"/>
      <c r="N418" s="45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9"/>
      <c r="AF418" s="32"/>
      <c r="AG418" s="46"/>
      <c r="AH418" s="46"/>
      <c r="AI418" s="47"/>
      <c r="AJ418" s="47"/>
      <c r="AK418" s="46"/>
      <c r="AL418" s="9"/>
      <c r="AM418" s="32"/>
      <c r="AN418" s="42"/>
    </row>
    <row r="419" spans="1:40" x14ac:dyDescent="0.2">
      <c r="A419" s="60"/>
      <c r="B419" s="32"/>
      <c r="C419" s="32"/>
      <c r="D419" s="32"/>
      <c r="E419" s="32"/>
      <c r="F419" s="45"/>
      <c r="G419" s="45"/>
      <c r="H419" s="45"/>
      <c r="I419" s="32"/>
      <c r="J419" s="9"/>
      <c r="K419" s="9"/>
      <c r="L419" s="45"/>
      <c r="M419" s="45"/>
      <c r="N419" s="45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9"/>
      <c r="AF419" s="32"/>
      <c r="AG419" s="46"/>
      <c r="AH419" s="46"/>
      <c r="AI419" s="47"/>
      <c r="AJ419" s="47"/>
      <c r="AK419" s="46"/>
      <c r="AL419" s="9"/>
      <c r="AM419" s="32"/>
      <c r="AN419" s="42"/>
    </row>
    <row r="420" spans="1:40" x14ac:dyDescent="0.2">
      <c r="A420" s="60"/>
      <c r="B420" s="32"/>
      <c r="C420" s="32"/>
      <c r="D420" s="32"/>
      <c r="E420" s="32"/>
      <c r="F420" s="45"/>
      <c r="G420" s="45"/>
      <c r="H420" s="45"/>
      <c r="I420" s="32"/>
      <c r="J420" s="9"/>
      <c r="K420" s="9"/>
      <c r="L420" s="45"/>
      <c r="M420" s="45"/>
      <c r="N420" s="45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9"/>
      <c r="AF420" s="32"/>
      <c r="AG420" s="46"/>
      <c r="AH420" s="46"/>
      <c r="AI420" s="47"/>
      <c r="AJ420" s="47"/>
      <c r="AK420" s="46"/>
      <c r="AL420" s="9"/>
      <c r="AM420" s="32"/>
      <c r="AN420" s="42"/>
    </row>
    <row r="421" spans="1:40" x14ac:dyDescent="0.2">
      <c r="A421" s="60"/>
      <c r="B421" s="32"/>
      <c r="C421" s="32"/>
      <c r="D421" s="32"/>
      <c r="E421" s="32"/>
      <c r="F421" s="45"/>
      <c r="G421" s="45"/>
      <c r="H421" s="45"/>
      <c r="I421" s="32"/>
      <c r="J421" s="9"/>
      <c r="K421" s="9"/>
      <c r="L421" s="45"/>
      <c r="M421" s="45"/>
      <c r="N421" s="45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9"/>
      <c r="AF421" s="32"/>
      <c r="AG421" s="46"/>
      <c r="AH421" s="46"/>
      <c r="AI421" s="47"/>
      <c r="AJ421" s="47"/>
      <c r="AK421" s="46"/>
      <c r="AL421" s="9"/>
      <c r="AM421" s="32"/>
      <c r="AN421" s="42"/>
    </row>
    <row r="422" spans="1:40" x14ac:dyDescent="0.2">
      <c r="A422" s="60"/>
      <c r="B422" s="32"/>
      <c r="C422" s="32"/>
      <c r="D422" s="32"/>
      <c r="E422" s="32"/>
      <c r="F422" s="45"/>
      <c r="G422" s="45"/>
      <c r="H422" s="45"/>
      <c r="I422" s="32"/>
      <c r="J422" s="9"/>
      <c r="K422" s="9"/>
      <c r="L422" s="45"/>
      <c r="M422" s="45"/>
      <c r="N422" s="45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9"/>
      <c r="AF422" s="32"/>
      <c r="AG422" s="46"/>
      <c r="AH422" s="46"/>
      <c r="AI422" s="47"/>
      <c r="AJ422" s="47"/>
      <c r="AK422" s="46"/>
      <c r="AL422" s="9"/>
      <c r="AM422" s="32"/>
      <c r="AN422" s="42"/>
    </row>
    <row r="423" spans="1:40" x14ac:dyDescent="0.2">
      <c r="A423" s="60"/>
      <c r="B423" s="32"/>
      <c r="C423" s="32"/>
      <c r="D423" s="32"/>
      <c r="E423" s="32"/>
      <c r="F423" s="45"/>
      <c r="G423" s="45"/>
      <c r="H423" s="45"/>
      <c r="I423" s="32"/>
      <c r="J423" s="9"/>
      <c r="K423" s="9"/>
      <c r="L423" s="45"/>
      <c r="M423" s="45"/>
      <c r="N423" s="45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9"/>
      <c r="AF423" s="32"/>
      <c r="AG423" s="46"/>
      <c r="AH423" s="46"/>
      <c r="AI423" s="47"/>
      <c r="AJ423" s="47"/>
      <c r="AK423" s="46"/>
      <c r="AL423" s="9"/>
      <c r="AM423" s="32"/>
      <c r="AN423" s="42"/>
    </row>
    <row r="424" spans="1:40" x14ac:dyDescent="0.2">
      <c r="A424" s="60"/>
      <c r="B424" s="32"/>
      <c r="C424" s="32"/>
      <c r="D424" s="32"/>
      <c r="E424" s="32"/>
      <c r="F424" s="45"/>
      <c r="G424" s="45"/>
      <c r="H424" s="45"/>
      <c r="I424" s="32"/>
      <c r="J424" s="9"/>
      <c r="K424" s="9"/>
      <c r="L424" s="45"/>
      <c r="M424" s="45"/>
      <c r="N424" s="45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9"/>
      <c r="AF424" s="32"/>
      <c r="AG424" s="46"/>
      <c r="AH424" s="46"/>
      <c r="AI424" s="47"/>
      <c r="AJ424" s="47"/>
      <c r="AK424" s="46"/>
      <c r="AL424" s="9"/>
      <c r="AM424" s="32"/>
      <c r="AN424" s="42"/>
    </row>
    <row r="425" spans="1:40" x14ac:dyDescent="0.2">
      <c r="A425" s="60"/>
      <c r="B425" s="32"/>
      <c r="C425" s="32"/>
      <c r="D425" s="32"/>
      <c r="E425" s="32"/>
      <c r="F425" s="45"/>
      <c r="G425" s="45"/>
      <c r="H425" s="45"/>
      <c r="I425" s="32"/>
      <c r="J425" s="9"/>
      <c r="K425" s="9"/>
      <c r="L425" s="45"/>
      <c r="M425" s="45"/>
      <c r="N425" s="45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9"/>
      <c r="AF425" s="32"/>
      <c r="AG425" s="46"/>
      <c r="AH425" s="46"/>
      <c r="AI425" s="47"/>
      <c r="AJ425" s="47"/>
      <c r="AK425" s="46"/>
      <c r="AL425" s="9"/>
      <c r="AM425" s="32"/>
      <c r="AN425" s="42"/>
    </row>
    <row r="426" spans="1:40" x14ac:dyDescent="0.2">
      <c r="A426" s="60"/>
      <c r="B426" s="32"/>
      <c r="C426" s="32"/>
      <c r="D426" s="32"/>
      <c r="E426" s="32"/>
      <c r="F426" s="45"/>
      <c r="G426" s="45"/>
      <c r="H426" s="45"/>
      <c r="I426" s="32"/>
      <c r="J426" s="9"/>
      <c r="K426" s="9"/>
      <c r="L426" s="45"/>
      <c r="M426" s="45"/>
      <c r="N426" s="45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9"/>
      <c r="AF426" s="32"/>
      <c r="AG426" s="46"/>
      <c r="AH426" s="46"/>
      <c r="AI426" s="47"/>
      <c r="AJ426" s="47"/>
      <c r="AK426" s="46"/>
      <c r="AL426" s="9"/>
      <c r="AM426" s="32"/>
      <c r="AN426" s="42"/>
    </row>
    <row r="427" spans="1:40" x14ac:dyDescent="0.2">
      <c r="A427" s="60"/>
      <c r="B427" s="32"/>
      <c r="C427" s="32"/>
      <c r="D427" s="32"/>
      <c r="E427" s="32"/>
      <c r="F427" s="45"/>
      <c r="G427" s="45"/>
      <c r="H427" s="45"/>
      <c r="I427" s="32"/>
      <c r="J427" s="9"/>
      <c r="K427" s="9"/>
      <c r="L427" s="45"/>
      <c r="M427" s="45"/>
      <c r="N427" s="45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9"/>
      <c r="AF427" s="32"/>
      <c r="AG427" s="46"/>
      <c r="AH427" s="46"/>
      <c r="AI427" s="47"/>
      <c r="AJ427" s="47"/>
      <c r="AK427" s="46"/>
      <c r="AL427" s="9"/>
      <c r="AM427" s="32"/>
      <c r="AN427" s="42"/>
    </row>
    <row r="428" spans="1:40" x14ac:dyDescent="0.2">
      <c r="A428" s="60"/>
      <c r="B428" s="32"/>
      <c r="C428" s="32"/>
      <c r="D428" s="32"/>
      <c r="E428" s="32"/>
      <c r="F428" s="45"/>
      <c r="G428" s="45"/>
      <c r="H428" s="45"/>
      <c r="I428" s="32"/>
      <c r="J428" s="9"/>
      <c r="K428" s="9"/>
      <c r="L428" s="45"/>
      <c r="M428" s="45"/>
      <c r="N428" s="45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9"/>
      <c r="AF428" s="32"/>
      <c r="AG428" s="46"/>
      <c r="AH428" s="46"/>
      <c r="AI428" s="47"/>
      <c r="AJ428" s="47"/>
      <c r="AK428" s="46"/>
      <c r="AL428" s="9"/>
      <c r="AM428" s="32"/>
      <c r="AN428" s="42"/>
    </row>
    <row r="429" spans="1:40" x14ac:dyDescent="0.2">
      <c r="A429" s="60"/>
      <c r="B429" s="32"/>
      <c r="C429" s="32"/>
      <c r="D429" s="32"/>
      <c r="E429" s="32"/>
      <c r="F429" s="45"/>
      <c r="G429" s="45"/>
      <c r="H429" s="45"/>
      <c r="I429" s="32"/>
      <c r="J429" s="9"/>
      <c r="K429" s="9"/>
      <c r="L429" s="45"/>
      <c r="M429" s="45"/>
      <c r="N429" s="45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9"/>
      <c r="AF429" s="32"/>
      <c r="AG429" s="46"/>
      <c r="AH429" s="46"/>
      <c r="AI429" s="47"/>
      <c r="AJ429" s="47"/>
      <c r="AK429" s="46"/>
      <c r="AL429" s="9"/>
      <c r="AM429" s="32"/>
      <c r="AN429" s="42"/>
    </row>
    <row r="430" spans="1:40" x14ac:dyDescent="0.2">
      <c r="A430" s="60"/>
      <c r="B430" s="32"/>
      <c r="C430" s="32"/>
      <c r="D430" s="32"/>
      <c r="E430" s="32"/>
      <c r="F430" s="45"/>
      <c r="G430" s="45"/>
      <c r="H430" s="45"/>
      <c r="I430" s="32"/>
      <c r="J430" s="9"/>
      <c r="K430" s="9"/>
      <c r="L430" s="45"/>
      <c r="M430" s="45"/>
      <c r="N430" s="45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9"/>
      <c r="AF430" s="32"/>
      <c r="AG430" s="46"/>
      <c r="AH430" s="46"/>
      <c r="AI430" s="47"/>
      <c r="AJ430" s="47"/>
      <c r="AK430" s="46"/>
      <c r="AL430" s="9"/>
      <c r="AM430" s="32"/>
      <c r="AN430" s="42"/>
    </row>
    <row r="431" spans="1:40" x14ac:dyDescent="0.2">
      <c r="A431" s="60"/>
      <c r="B431" s="32"/>
      <c r="C431" s="32"/>
      <c r="D431" s="32"/>
      <c r="E431" s="32"/>
      <c r="F431" s="45"/>
      <c r="G431" s="45"/>
      <c r="H431" s="45"/>
      <c r="I431" s="32"/>
      <c r="J431" s="9"/>
      <c r="K431" s="9"/>
      <c r="L431" s="45"/>
      <c r="M431" s="45"/>
      <c r="N431" s="45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9"/>
      <c r="AF431" s="32"/>
      <c r="AG431" s="46"/>
      <c r="AH431" s="46"/>
      <c r="AI431" s="47"/>
      <c r="AJ431" s="47"/>
      <c r="AK431" s="46"/>
      <c r="AL431" s="9"/>
      <c r="AM431" s="32"/>
      <c r="AN431" s="42"/>
    </row>
    <row r="432" spans="1:40" x14ac:dyDescent="0.2">
      <c r="A432" s="60"/>
      <c r="B432" s="32"/>
      <c r="C432" s="32"/>
      <c r="D432" s="32"/>
      <c r="E432" s="32"/>
      <c r="F432" s="45"/>
      <c r="G432" s="45"/>
      <c r="H432" s="45"/>
      <c r="I432" s="32"/>
      <c r="J432" s="9"/>
      <c r="K432" s="9"/>
      <c r="L432" s="45"/>
      <c r="M432" s="45"/>
      <c r="N432" s="45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9"/>
      <c r="AF432" s="32"/>
      <c r="AG432" s="46"/>
      <c r="AH432" s="46"/>
      <c r="AI432" s="47"/>
      <c r="AJ432" s="47"/>
      <c r="AK432" s="46"/>
      <c r="AL432" s="9"/>
      <c r="AM432" s="32"/>
      <c r="AN432" s="42"/>
    </row>
    <row r="433" spans="1:40" x14ac:dyDescent="0.2">
      <c r="A433" s="60"/>
      <c r="B433" s="32"/>
      <c r="C433" s="32"/>
      <c r="D433" s="32"/>
      <c r="E433" s="32"/>
      <c r="F433" s="45"/>
      <c r="G433" s="45"/>
      <c r="H433" s="45"/>
      <c r="I433" s="32"/>
      <c r="J433" s="9"/>
      <c r="K433" s="9"/>
      <c r="L433" s="45"/>
      <c r="M433" s="45"/>
      <c r="N433" s="45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9"/>
      <c r="AF433" s="32"/>
      <c r="AG433" s="46"/>
      <c r="AH433" s="46"/>
      <c r="AI433" s="47"/>
      <c r="AJ433" s="47"/>
      <c r="AK433" s="46"/>
      <c r="AL433" s="9"/>
      <c r="AM433" s="32"/>
      <c r="AN433" s="42"/>
    </row>
    <row r="434" spans="1:40" x14ac:dyDescent="0.2">
      <c r="A434" s="60"/>
      <c r="B434" s="32"/>
      <c r="C434" s="32"/>
      <c r="D434" s="32"/>
      <c r="E434" s="32"/>
      <c r="F434" s="45"/>
      <c r="G434" s="45"/>
      <c r="H434" s="45"/>
      <c r="I434" s="32"/>
      <c r="J434" s="9"/>
      <c r="K434" s="9"/>
      <c r="L434" s="45"/>
      <c r="M434" s="45"/>
      <c r="N434" s="45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9"/>
      <c r="AF434" s="32"/>
      <c r="AG434" s="46"/>
      <c r="AH434" s="46"/>
      <c r="AI434" s="47"/>
      <c r="AJ434" s="47"/>
      <c r="AK434" s="46"/>
      <c r="AL434" s="9"/>
      <c r="AM434" s="32"/>
      <c r="AN434" s="42"/>
    </row>
    <row r="435" spans="1:40" x14ac:dyDescent="0.2">
      <c r="A435" s="60"/>
      <c r="B435" s="32"/>
      <c r="C435" s="32"/>
      <c r="D435" s="32"/>
      <c r="E435" s="32"/>
      <c r="F435" s="45"/>
      <c r="G435" s="45"/>
      <c r="H435" s="45"/>
      <c r="I435" s="32"/>
      <c r="J435" s="9"/>
      <c r="K435" s="9"/>
      <c r="L435" s="45"/>
      <c r="M435" s="45"/>
      <c r="N435" s="45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9"/>
      <c r="AF435" s="32"/>
      <c r="AG435" s="46"/>
      <c r="AH435" s="46"/>
      <c r="AI435" s="47"/>
      <c r="AJ435" s="47"/>
      <c r="AK435" s="46"/>
      <c r="AL435" s="9"/>
      <c r="AM435" s="32"/>
      <c r="AN435" s="42"/>
    </row>
    <row r="436" spans="1:40" x14ac:dyDescent="0.2">
      <c r="A436" s="60"/>
      <c r="B436" s="32"/>
      <c r="C436" s="32"/>
      <c r="D436" s="32"/>
      <c r="E436" s="32"/>
      <c r="F436" s="45"/>
      <c r="G436" s="45"/>
      <c r="H436" s="45"/>
      <c r="I436" s="32"/>
      <c r="J436" s="9"/>
      <c r="K436" s="9"/>
      <c r="L436" s="45"/>
      <c r="M436" s="45"/>
      <c r="N436" s="45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9"/>
      <c r="AF436" s="32"/>
      <c r="AG436" s="46"/>
      <c r="AH436" s="46"/>
      <c r="AI436" s="47"/>
      <c r="AJ436" s="47"/>
      <c r="AK436" s="46"/>
      <c r="AL436" s="9"/>
      <c r="AM436" s="32"/>
      <c r="AN436" s="42"/>
    </row>
    <row r="437" spans="1:40" x14ac:dyDescent="0.2">
      <c r="A437" s="60"/>
      <c r="B437" s="32"/>
      <c r="C437" s="32"/>
      <c r="D437" s="32"/>
      <c r="E437" s="32"/>
      <c r="F437" s="45"/>
      <c r="G437" s="45"/>
      <c r="H437" s="45"/>
      <c r="I437" s="32"/>
      <c r="J437" s="9"/>
      <c r="K437" s="9"/>
      <c r="L437" s="45"/>
      <c r="M437" s="45"/>
      <c r="N437" s="45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9"/>
      <c r="AF437" s="32"/>
      <c r="AG437" s="46"/>
      <c r="AH437" s="46"/>
      <c r="AI437" s="47"/>
      <c r="AJ437" s="47"/>
      <c r="AK437" s="46"/>
      <c r="AL437" s="9"/>
      <c r="AM437" s="32"/>
      <c r="AN437" s="42"/>
    </row>
    <row r="438" spans="1:40" x14ac:dyDescent="0.2">
      <c r="A438" s="60"/>
      <c r="B438" s="32"/>
      <c r="C438" s="32"/>
      <c r="D438" s="32"/>
      <c r="E438" s="32"/>
      <c r="F438" s="45"/>
      <c r="G438" s="45"/>
      <c r="H438" s="45"/>
      <c r="I438" s="32"/>
      <c r="J438" s="9"/>
      <c r="K438" s="9"/>
      <c r="L438" s="45"/>
      <c r="M438" s="45"/>
      <c r="N438" s="45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9"/>
      <c r="AF438" s="32"/>
      <c r="AG438" s="46"/>
      <c r="AH438" s="46"/>
      <c r="AI438" s="47"/>
      <c r="AJ438" s="47"/>
      <c r="AK438" s="46"/>
      <c r="AL438" s="9"/>
      <c r="AM438" s="32"/>
      <c r="AN438" s="42"/>
    </row>
    <row r="439" spans="1:40" x14ac:dyDescent="0.2">
      <c r="A439" s="60"/>
      <c r="B439" s="32"/>
      <c r="C439" s="32"/>
      <c r="D439" s="32"/>
      <c r="E439" s="32"/>
      <c r="F439" s="45"/>
      <c r="G439" s="45"/>
      <c r="H439" s="45"/>
      <c r="I439" s="32"/>
      <c r="J439" s="9"/>
      <c r="K439" s="9"/>
      <c r="L439" s="45"/>
      <c r="M439" s="45"/>
      <c r="N439" s="45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9"/>
      <c r="AF439" s="32"/>
      <c r="AG439" s="46"/>
      <c r="AH439" s="46"/>
      <c r="AI439" s="47"/>
      <c r="AJ439" s="47"/>
      <c r="AK439" s="46"/>
      <c r="AL439" s="9"/>
      <c r="AM439" s="32"/>
      <c r="AN439" s="42"/>
    </row>
    <row r="440" spans="1:40" x14ac:dyDescent="0.2">
      <c r="A440" s="60"/>
      <c r="B440" s="32"/>
      <c r="C440" s="32"/>
      <c r="D440" s="32"/>
      <c r="E440" s="32"/>
      <c r="F440" s="45"/>
      <c r="G440" s="45"/>
      <c r="H440" s="45"/>
      <c r="I440" s="32"/>
      <c r="J440" s="9"/>
      <c r="K440" s="9"/>
      <c r="L440" s="45"/>
      <c r="M440" s="45"/>
      <c r="N440" s="45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9"/>
      <c r="AF440" s="32"/>
      <c r="AG440" s="46"/>
      <c r="AH440" s="46"/>
      <c r="AI440" s="47"/>
      <c r="AJ440" s="47"/>
      <c r="AK440" s="46"/>
      <c r="AL440" s="9"/>
      <c r="AM440" s="32"/>
      <c r="AN440" s="42"/>
    </row>
    <row r="441" spans="1:40" x14ac:dyDescent="0.2">
      <c r="A441" s="60"/>
      <c r="B441" s="32"/>
      <c r="C441" s="32"/>
      <c r="D441" s="32"/>
      <c r="E441" s="32"/>
      <c r="F441" s="45"/>
      <c r="G441" s="45"/>
      <c r="H441" s="45"/>
      <c r="I441" s="32"/>
      <c r="J441" s="9"/>
      <c r="K441" s="9"/>
      <c r="L441" s="45"/>
      <c r="M441" s="45"/>
      <c r="N441" s="45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9"/>
      <c r="AF441" s="32"/>
      <c r="AG441" s="46"/>
      <c r="AH441" s="46"/>
      <c r="AI441" s="47"/>
      <c r="AJ441" s="47"/>
      <c r="AK441" s="46"/>
      <c r="AL441" s="9"/>
      <c r="AM441" s="32"/>
      <c r="AN441" s="42"/>
    </row>
    <row r="442" spans="1:40" x14ac:dyDescent="0.2">
      <c r="A442" s="60"/>
      <c r="B442" s="32"/>
      <c r="C442" s="32"/>
      <c r="D442" s="32"/>
      <c r="E442" s="32"/>
      <c r="F442" s="45"/>
      <c r="G442" s="45"/>
      <c r="H442" s="45"/>
      <c r="I442" s="32"/>
      <c r="J442" s="9"/>
      <c r="K442" s="9"/>
      <c r="L442" s="45"/>
      <c r="M442" s="45"/>
      <c r="N442" s="45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9"/>
      <c r="AF442" s="32"/>
      <c r="AG442" s="46"/>
      <c r="AH442" s="46"/>
      <c r="AI442" s="47"/>
      <c r="AJ442" s="47"/>
      <c r="AK442" s="46"/>
      <c r="AL442" s="9"/>
      <c r="AM442" s="32"/>
      <c r="AN442" s="42"/>
    </row>
    <row r="443" spans="1:40" x14ac:dyDescent="0.2">
      <c r="A443" s="60"/>
      <c r="B443" s="32"/>
      <c r="C443" s="32"/>
      <c r="D443" s="32"/>
      <c r="E443" s="32"/>
      <c r="F443" s="45"/>
      <c r="G443" s="45"/>
      <c r="H443" s="45"/>
      <c r="I443" s="32"/>
      <c r="J443" s="9"/>
      <c r="K443" s="9"/>
      <c r="L443" s="45"/>
      <c r="M443" s="45"/>
      <c r="N443" s="45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9"/>
      <c r="AF443" s="32"/>
      <c r="AG443" s="46"/>
      <c r="AH443" s="46"/>
      <c r="AI443" s="47"/>
      <c r="AJ443" s="47"/>
      <c r="AK443" s="46"/>
      <c r="AL443" s="9"/>
      <c r="AM443" s="32"/>
      <c r="AN443" s="42"/>
    </row>
    <row r="444" spans="1:40" x14ac:dyDescent="0.2">
      <c r="A444" s="60"/>
      <c r="B444" s="32"/>
      <c r="C444" s="32"/>
      <c r="D444" s="32"/>
      <c r="E444" s="32"/>
      <c r="F444" s="45"/>
      <c r="G444" s="45"/>
      <c r="H444" s="45"/>
      <c r="I444" s="32"/>
      <c r="J444" s="9"/>
      <c r="K444" s="9"/>
      <c r="L444" s="45"/>
      <c r="M444" s="45"/>
      <c r="N444" s="45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9"/>
      <c r="AF444" s="32"/>
      <c r="AG444" s="46"/>
      <c r="AH444" s="46"/>
      <c r="AI444" s="47"/>
      <c r="AJ444" s="47"/>
      <c r="AK444" s="46"/>
      <c r="AL444" s="9"/>
      <c r="AM444" s="32"/>
      <c r="AN444" s="42"/>
    </row>
    <row r="445" spans="1:40" x14ac:dyDescent="0.2">
      <c r="A445" s="60"/>
      <c r="B445" s="32"/>
      <c r="C445" s="32"/>
      <c r="D445" s="32"/>
      <c r="E445" s="32"/>
      <c r="F445" s="45"/>
      <c r="G445" s="45"/>
      <c r="H445" s="45"/>
      <c r="I445" s="32"/>
      <c r="J445" s="9"/>
      <c r="K445" s="9"/>
      <c r="L445" s="45"/>
      <c r="M445" s="45"/>
      <c r="N445" s="45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9"/>
      <c r="AF445" s="32"/>
      <c r="AG445" s="46"/>
      <c r="AH445" s="46"/>
      <c r="AI445" s="47"/>
      <c r="AJ445" s="47"/>
      <c r="AK445" s="46"/>
      <c r="AL445" s="9"/>
      <c r="AM445" s="32"/>
      <c r="AN445" s="42"/>
    </row>
    <row r="446" spans="1:40" x14ac:dyDescent="0.2">
      <c r="A446" s="60"/>
      <c r="B446" s="32"/>
      <c r="C446" s="32"/>
      <c r="D446" s="32"/>
      <c r="E446" s="32"/>
      <c r="F446" s="45"/>
      <c r="G446" s="45"/>
      <c r="H446" s="45"/>
      <c r="I446" s="32"/>
      <c r="J446" s="9"/>
      <c r="K446" s="9"/>
      <c r="L446" s="45"/>
      <c r="M446" s="45"/>
      <c r="N446" s="45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9"/>
      <c r="AF446" s="32"/>
      <c r="AG446" s="46"/>
      <c r="AH446" s="46"/>
      <c r="AI446" s="47"/>
      <c r="AJ446" s="47"/>
      <c r="AK446" s="46"/>
      <c r="AL446" s="9"/>
      <c r="AM446" s="32"/>
      <c r="AN446" s="42"/>
    </row>
    <row r="447" spans="1:40" x14ac:dyDescent="0.2">
      <c r="A447" s="60"/>
      <c r="B447" s="32"/>
      <c r="C447" s="32"/>
      <c r="D447" s="32"/>
      <c r="E447" s="32"/>
      <c r="F447" s="45"/>
      <c r="G447" s="45"/>
      <c r="H447" s="45"/>
      <c r="I447" s="32"/>
      <c r="J447" s="9"/>
      <c r="K447" s="9"/>
      <c r="L447" s="45"/>
      <c r="M447" s="45"/>
      <c r="N447" s="45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9"/>
      <c r="AF447" s="32"/>
      <c r="AG447" s="46"/>
      <c r="AH447" s="46"/>
      <c r="AI447" s="47"/>
      <c r="AJ447" s="47"/>
      <c r="AK447" s="46"/>
      <c r="AL447" s="9"/>
      <c r="AM447" s="32"/>
      <c r="AN447" s="42"/>
    </row>
    <row r="448" spans="1:40" x14ac:dyDescent="0.2">
      <c r="A448" s="60"/>
      <c r="B448" s="32"/>
      <c r="C448" s="32"/>
      <c r="D448" s="32"/>
      <c r="E448" s="32"/>
      <c r="F448" s="45"/>
      <c r="G448" s="45"/>
      <c r="H448" s="45"/>
      <c r="I448" s="32"/>
      <c r="J448" s="9"/>
      <c r="K448" s="9"/>
      <c r="L448" s="45"/>
      <c r="M448" s="45"/>
      <c r="N448" s="45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9"/>
      <c r="AF448" s="32"/>
      <c r="AG448" s="46"/>
      <c r="AH448" s="46"/>
      <c r="AI448" s="47"/>
      <c r="AJ448" s="47"/>
      <c r="AK448" s="46"/>
      <c r="AL448" s="9"/>
      <c r="AM448" s="32"/>
      <c r="AN448" s="42"/>
    </row>
    <row r="449" spans="1:40" x14ac:dyDescent="0.2">
      <c r="A449" s="60"/>
      <c r="B449" s="32"/>
      <c r="C449" s="32"/>
      <c r="D449" s="32"/>
      <c r="E449" s="32"/>
      <c r="F449" s="45"/>
      <c r="G449" s="45"/>
      <c r="H449" s="45"/>
      <c r="I449" s="32"/>
      <c r="J449" s="9"/>
      <c r="K449" s="9"/>
      <c r="L449" s="45"/>
      <c r="M449" s="45"/>
      <c r="N449" s="45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9"/>
      <c r="AF449" s="32"/>
      <c r="AG449" s="46"/>
      <c r="AH449" s="46"/>
      <c r="AI449" s="47"/>
      <c r="AJ449" s="47"/>
      <c r="AK449" s="46"/>
      <c r="AL449" s="9"/>
      <c r="AM449" s="32"/>
      <c r="AN449" s="42"/>
    </row>
    <row r="450" spans="1:40" x14ac:dyDescent="0.2">
      <c r="A450" s="60"/>
      <c r="B450" s="32"/>
      <c r="C450" s="32"/>
      <c r="D450" s="32"/>
      <c r="E450" s="32"/>
      <c r="F450" s="45"/>
      <c r="G450" s="45"/>
      <c r="H450" s="45"/>
      <c r="I450" s="32"/>
      <c r="J450" s="9"/>
      <c r="K450" s="9"/>
      <c r="L450" s="45"/>
      <c r="M450" s="45"/>
      <c r="N450" s="45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9"/>
      <c r="AF450" s="32"/>
      <c r="AG450" s="46"/>
      <c r="AH450" s="46"/>
      <c r="AI450" s="47"/>
      <c r="AJ450" s="47"/>
      <c r="AK450" s="46"/>
      <c r="AL450" s="9"/>
      <c r="AM450" s="32"/>
      <c r="AN450" s="42"/>
    </row>
    <row r="451" spans="1:40" x14ac:dyDescent="0.2">
      <c r="A451" s="60"/>
      <c r="B451" s="32"/>
      <c r="C451" s="32"/>
      <c r="D451" s="32"/>
      <c r="E451" s="32"/>
      <c r="F451" s="45"/>
      <c r="G451" s="45"/>
      <c r="H451" s="45"/>
      <c r="I451" s="32"/>
      <c r="J451" s="9"/>
      <c r="K451" s="9"/>
      <c r="L451" s="45"/>
      <c r="M451" s="45"/>
      <c r="N451" s="45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9"/>
      <c r="AF451" s="32"/>
      <c r="AG451" s="46"/>
      <c r="AH451" s="46"/>
      <c r="AI451" s="47"/>
      <c r="AJ451" s="47"/>
      <c r="AK451" s="46"/>
      <c r="AL451" s="9"/>
      <c r="AM451" s="32"/>
      <c r="AN451" s="42"/>
    </row>
    <row r="452" spans="1:40" x14ac:dyDescent="0.2">
      <c r="A452" s="60"/>
      <c r="B452" s="32"/>
      <c r="C452" s="32"/>
      <c r="D452" s="32"/>
      <c r="E452" s="32"/>
      <c r="F452" s="45"/>
      <c r="G452" s="45"/>
      <c r="H452" s="45"/>
      <c r="I452" s="32"/>
      <c r="J452" s="9"/>
      <c r="K452" s="9"/>
      <c r="L452" s="45"/>
      <c r="M452" s="45"/>
      <c r="N452" s="45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9"/>
      <c r="AF452" s="32"/>
      <c r="AG452" s="46"/>
      <c r="AH452" s="46"/>
      <c r="AI452" s="47"/>
      <c r="AJ452" s="47"/>
      <c r="AK452" s="46"/>
      <c r="AL452" s="9"/>
      <c r="AM452" s="32"/>
      <c r="AN452" s="42"/>
    </row>
    <row r="453" spans="1:40" x14ac:dyDescent="0.2">
      <c r="A453" s="60"/>
      <c r="B453" s="32"/>
      <c r="C453" s="32"/>
      <c r="D453" s="32"/>
      <c r="E453" s="32"/>
      <c r="F453" s="45"/>
      <c r="G453" s="45"/>
      <c r="H453" s="45"/>
      <c r="I453" s="32"/>
      <c r="J453" s="9"/>
      <c r="K453" s="9"/>
      <c r="L453" s="45"/>
      <c r="M453" s="45"/>
      <c r="N453" s="45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9"/>
      <c r="AF453" s="32"/>
      <c r="AG453" s="46"/>
      <c r="AH453" s="46"/>
      <c r="AI453" s="47"/>
      <c r="AJ453" s="47"/>
      <c r="AK453" s="46"/>
      <c r="AL453" s="9"/>
      <c r="AM453" s="32"/>
      <c r="AN453" s="42"/>
    </row>
    <row r="454" spans="1:40" x14ac:dyDescent="0.2">
      <c r="A454" s="60"/>
      <c r="B454" s="32"/>
      <c r="C454" s="32"/>
      <c r="D454" s="32"/>
      <c r="E454" s="32"/>
      <c r="F454" s="45"/>
      <c r="G454" s="45"/>
      <c r="H454" s="45"/>
      <c r="I454" s="32"/>
      <c r="J454" s="9"/>
      <c r="K454" s="9"/>
      <c r="L454" s="45"/>
      <c r="M454" s="45"/>
      <c r="N454" s="45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9"/>
      <c r="AF454" s="32"/>
      <c r="AG454" s="46"/>
      <c r="AH454" s="46"/>
      <c r="AI454" s="47"/>
      <c r="AJ454" s="47"/>
      <c r="AK454" s="46"/>
      <c r="AL454" s="9"/>
      <c r="AM454" s="32"/>
      <c r="AN454" s="42"/>
    </row>
    <row r="455" spans="1:40" x14ac:dyDescent="0.2">
      <c r="A455" s="60"/>
      <c r="B455" s="32"/>
      <c r="C455" s="32"/>
      <c r="D455" s="32"/>
      <c r="E455" s="32"/>
      <c r="F455" s="45"/>
      <c r="G455" s="45"/>
      <c r="H455" s="45"/>
      <c r="I455" s="32"/>
      <c r="J455" s="9"/>
      <c r="K455" s="9"/>
      <c r="L455" s="45"/>
      <c r="M455" s="45"/>
      <c r="N455" s="45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9"/>
      <c r="AF455" s="32"/>
      <c r="AG455" s="46"/>
      <c r="AH455" s="46"/>
      <c r="AI455" s="47"/>
      <c r="AJ455" s="47"/>
      <c r="AK455" s="46"/>
      <c r="AL455" s="9"/>
      <c r="AM455" s="32"/>
      <c r="AN455" s="42"/>
    </row>
    <row r="456" spans="1:40" x14ac:dyDescent="0.2">
      <c r="A456" s="60"/>
      <c r="B456" s="32"/>
      <c r="C456" s="32"/>
      <c r="D456" s="32"/>
      <c r="E456" s="32"/>
      <c r="F456" s="45"/>
      <c r="G456" s="45"/>
      <c r="H456" s="45"/>
      <c r="I456" s="32"/>
      <c r="J456" s="9"/>
      <c r="K456" s="9"/>
      <c r="L456" s="45"/>
      <c r="M456" s="45"/>
      <c r="N456" s="45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9"/>
      <c r="AF456" s="32"/>
      <c r="AG456" s="46"/>
      <c r="AH456" s="46"/>
      <c r="AI456" s="47"/>
      <c r="AJ456" s="47"/>
      <c r="AK456" s="46"/>
      <c r="AL456" s="9"/>
      <c r="AM456" s="32"/>
      <c r="AN456" s="42"/>
    </row>
    <row r="457" spans="1:40" x14ac:dyDescent="0.2">
      <c r="A457" s="60"/>
      <c r="B457" s="32"/>
      <c r="C457" s="32"/>
      <c r="D457" s="32"/>
      <c r="E457" s="32"/>
      <c r="F457" s="45"/>
      <c r="G457" s="45"/>
      <c r="H457" s="45"/>
      <c r="I457" s="32"/>
      <c r="J457" s="9"/>
      <c r="K457" s="9"/>
      <c r="L457" s="45"/>
      <c r="M457" s="45"/>
      <c r="N457" s="45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9"/>
      <c r="AF457" s="32"/>
      <c r="AG457" s="46"/>
      <c r="AH457" s="46"/>
      <c r="AI457" s="47"/>
      <c r="AJ457" s="47"/>
      <c r="AK457" s="46"/>
      <c r="AL457" s="9"/>
      <c r="AM457" s="32"/>
      <c r="AN457" s="42"/>
    </row>
    <row r="458" spans="1:40" x14ac:dyDescent="0.2">
      <c r="A458" s="60"/>
      <c r="B458" s="32"/>
      <c r="C458" s="32"/>
      <c r="D458" s="32"/>
      <c r="E458" s="32"/>
      <c r="F458" s="45"/>
      <c r="G458" s="45"/>
      <c r="H458" s="45"/>
      <c r="I458" s="32"/>
      <c r="J458" s="9"/>
      <c r="K458" s="9"/>
      <c r="L458" s="45"/>
      <c r="M458" s="45"/>
      <c r="N458" s="45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9"/>
      <c r="AF458" s="32"/>
      <c r="AG458" s="46"/>
      <c r="AH458" s="46"/>
      <c r="AI458" s="47"/>
      <c r="AJ458" s="47"/>
      <c r="AK458" s="46"/>
      <c r="AL458" s="9"/>
      <c r="AM458" s="32"/>
      <c r="AN458" s="42"/>
    </row>
    <row r="459" spans="1:40" x14ac:dyDescent="0.2">
      <c r="A459" s="60"/>
      <c r="B459" s="32"/>
      <c r="C459" s="32"/>
      <c r="D459" s="32"/>
      <c r="E459" s="32"/>
      <c r="F459" s="45"/>
      <c r="G459" s="45"/>
      <c r="H459" s="45"/>
      <c r="I459" s="32"/>
      <c r="J459" s="9"/>
      <c r="K459" s="9"/>
      <c r="L459" s="45"/>
      <c r="M459" s="45"/>
      <c r="N459" s="45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9"/>
      <c r="AF459" s="32"/>
      <c r="AG459" s="46"/>
      <c r="AH459" s="46"/>
      <c r="AI459" s="47"/>
      <c r="AJ459" s="47"/>
      <c r="AK459" s="46"/>
      <c r="AL459" s="9"/>
      <c r="AM459" s="32"/>
      <c r="AN459" s="42"/>
    </row>
    <row r="460" spans="1:40" x14ac:dyDescent="0.2">
      <c r="A460" s="60"/>
      <c r="B460" s="32"/>
      <c r="C460" s="32"/>
      <c r="D460" s="32"/>
      <c r="E460" s="32"/>
      <c r="F460" s="45"/>
      <c r="G460" s="45"/>
      <c r="H460" s="45"/>
      <c r="I460" s="32"/>
      <c r="J460" s="9"/>
      <c r="K460" s="9"/>
      <c r="L460" s="45"/>
      <c r="M460" s="45"/>
      <c r="N460" s="45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9"/>
      <c r="AF460" s="32"/>
      <c r="AG460" s="46"/>
      <c r="AH460" s="46"/>
      <c r="AI460" s="47"/>
      <c r="AJ460" s="47"/>
      <c r="AK460" s="46"/>
      <c r="AL460" s="9"/>
      <c r="AM460" s="32"/>
      <c r="AN460" s="42"/>
    </row>
    <row r="461" spans="1:40" x14ac:dyDescent="0.2">
      <c r="A461" s="60"/>
      <c r="B461" s="32"/>
      <c r="C461" s="32"/>
      <c r="D461" s="32"/>
      <c r="E461" s="32"/>
      <c r="F461" s="45"/>
      <c r="G461" s="45"/>
      <c r="H461" s="45"/>
      <c r="I461" s="32"/>
      <c r="J461" s="9"/>
      <c r="K461" s="9"/>
      <c r="L461" s="45"/>
      <c r="M461" s="45"/>
      <c r="N461" s="45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9"/>
      <c r="AF461" s="32"/>
      <c r="AG461" s="46"/>
      <c r="AH461" s="46"/>
      <c r="AI461" s="47"/>
      <c r="AJ461" s="47"/>
      <c r="AK461" s="46"/>
      <c r="AL461" s="9"/>
      <c r="AM461" s="32"/>
      <c r="AN461" s="42"/>
    </row>
    <row r="462" spans="1:40" x14ac:dyDescent="0.2">
      <c r="A462" s="60"/>
      <c r="B462" s="32"/>
      <c r="C462" s="32"/>
      <c r="D462" s="32"/>
      <c r="E462" s="32"/>
      <c r="F462" s="45"/>
      <c r="G462" s="45"/>
      <c r="H462" s="45"/>
      <c r="I462" s="32"/>
      <c r="J462" s="9"/>
      <c r="K462" s="9"/>
      <c r="L462" s="45"/>
      <c r="M462" s="45"/>
      <c r="N462" s="45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9"/>
      <c r="AF462" s="32"/>
      <c r="AG462" s="46"/>
      <c r="AH462" s="46"/>
      <c r="AI462" s="47"/>
      <c r="AJ462" s="47"/>
      <c r="AK462" s="46"/>
      <c r="AL462" s="9"/>
      <c r="AM462" s="32"/>
      <c r="AN462" s="42"/>
    </row>
    <row r="463" spans="1:40" x14ac:dyDescent="0.2">
      <c r="A463" s="60"/>
      <c r="B463" s="32"/>
      <c r="C463" s="32"/>
      <c r="D463" s="32"/>
      <c r="E463" s="32"/>
      <c r="F463" s="45"/>
      <c r="G463" s="45"/>
      <c r="H463" s="45"/>
      <c r="I463" s="32"/>
      <c r="J463" s="9"/>
      <c r="K463" s="9"/>
      <c r="L463" s="45"/>
      <c r="M463" s="45"/>
      <c r="N463" s="45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9"/>
      <c r="AF463" s="32"/>
      <c r="AG463" s="46"/>
      <c r="AH463" s="46"/>
      <c r="AI463" s="47"/>
      <c r="AJ463" s="47"/>
      <c r="AK463" s="46"/>
      <c r="AL463" s="9"/>
      <c r="AM463" s="32"/>
      <c r="AN463" s="42"/>
    </row>
    <row r="464" spans="1:40" x14ac:dyDescent="0.2">
      <c r="A464" s="60"/>
      <c r="B464" s="32"/>
      <c r="C464" s="32"/>
      <c r="D464" s="32"/>
      <c r="E464" s="32"/>
      <c r="F464" s="45"/>
      <c r="G464" s="45"/>
      <c r="H464" s="45"/>
      <c r="I464" s="32"/>
      <c r="J464" s="9"/>
      <c r="K464" s="9"/>
      <c r="L464" s="45"/>
      <c r="M464" s="45"/>
      <c r="N464" s="45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9"/>
      <c r="AF464" s="32"/>
      <c r="AG464" s="46"/>
      <c r="AH464" s="46"/>
      <c r="AI464" s="47"/>
      <c r="AJ464" s="47"/>
      <c r="AK464" s="46"/>
      <c r="AL464" s="9"/>
      <c r="AM464" s="32"/>
      <c r="AN464" s="42"/>
    </row>
    <row r="465" spans="1:40" x14ac:dyDescent="0.2">
      <c r="A465" s="60"/>
      <c r="B465" s="32"/>
      <c r="C465" s="32"/>
      <c r="D465" s="32"/>
      <c r="E465" s="32"/>
      <c r="F465" s="45"/>
      <c r="G465" s="45"/>
      <c r="H465" s="45"/>
      <c r="I465" s="32"/>
      <c r="J465" s="9"/>
      <c r="K465" s="9"/>
      <c r="L465" s="45"/>
      <c r="M465" s="45"/>
      <c r="N465" s="45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9"/>
      <c r="AF465" s="32"/>
      <c r="AG465" s="46"/>
      <c r="AH465" s="46"/>
      <c r="AI465" s="47"/>
      <c r="AJ465" s="47"/>
      <c r="AK465" s="46"/>
      <c r="AL465" s="9"/>
      <c r="AM465" s="32"/>
      <c r="AN465" s="42"/>
    </row>
    <row r="466" spans="1:40" x14ac:dyDescent="0.2">
      <c r="A466" s="60"/>
      <c r="B466" s="32"/>
      <c r="C466" s="32"/>
      <c r="D466" s="32"/>
      <c r="E466" s="32"/>
      <c r="F466" s="45"/>
      <c r="G466" s="45"/>
      <c r="H466" s="45"/>
      <c r="I466" s="32"/>
      <c r="J466" s="9"/>
      <c r="K466" s="9"/>
      <c r="L466" s="45"/>
      <c r="M466" s="45"/>
      <c r="N466" s="45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9"/>
      <c r="AF466" s="32"/>
      <c r="AG466" s="46"/>
      <c r="AH466" s="46"/>
      <c r="AI466" s="47"/>
      <c r="AJ466" s="47"/>
      <c r="AK466" s="46"/>
      <c r="AL466" s="9"/>
      <c r="AM466" s="32"/>
      <c r="AN466" s="42"/>
    </row>
    <row r="467" spans="1:40" x14ac:dyDescent="0.2">
      <c r="A467" s="60"/>
      <c r="B467" s="32"/>
      <c r="C467" s="32"/>
      <c r="D467" s="32"/>
      <c r="E467" s="32"/>
      <c r="F467" s="45"/>
      <c r="G467" s="45"/>
      <c r="H467" s="45"/>
      <c r="I467" s="32"/>
      <c r="J467" s="9"/>
      <c r="K467" s="9"/>
      <c r="L467" s="45"/>
      <c r="M467" s="45"/>
      <c r="N467" s="45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9"/>
      <c r="AF467" s="32"/>
      <c r="AG467" s="46"/>
      <c r="AH467" s="46"/>
      <c r="AI467" s="47"/>
      <c r="AJ467" s="47"/>
      <c r="AK467" s="46"/>
      <c r="AL467" s="9"/>
      <c r="AM467" s="32"/>
      <c r="AN467" s="42"/>
    </row>
    <row r="468" spans="1:40" x14ac:dyDescent="0.2">
      <c r="A468" s="60"/>
      <c r="B468" s="32"/>
      <c r="C468" s="32"/>
      <c r="D468" s="32"/>
      <c r="E468" s="32"/>
      <c r="F468" s="45"/>
      <c r="G468" s="45"/>
      <c r="H468" s="45"/>
      <c r="I468" s="32"/>
      <c r="J468" s="9"/>
      <c r="K468" s="9"/>
      <c r="L468" s="45"/>
      <c r="M468" s="45"/>
      <c r="N468" s="45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9"/>
      <c r="AF468" s="32"/>
      <c r="AG468" s="46"/>
      <c r="AH468" s="46"/>
      <c r="AI468" s="47"/>
      <c r="AJ468" s="47"/>
      <c r="AK468" s="46"/>
      <c r="AL468" s="9"/>
      <c r="AM468" s="32"/>
      <c r="AN468" s="42"/>
    </row>
    <row r="469" spans="1:40" x14ac:dyDescent="0.2">
      <c r="A469" s="60"/>
      <c r="B469" s="32"/>
      <c r="C469" s="32"/>
      <c r="D469" s="32"/>
      <c r="E469" s="32"/>
      <c r="F469" s="45"/>
      <c r="G469" s="45"/>
      <c r="H469" s="45"/>
      <c r="I469" s="32"/>
      <c r="J469" s="9"/>
      <c r="K469" s="9"/>
      <c r="L469" s="45"/>
      <c r="M469" s="45"/>
      <c r="N469" s="45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9"/>
      <c r="AF469" s="32"/>
      <c r="AG469" s="46"/>
      <c r="AH469" s="46"/>
      <c r="AI469" s="47"/>
      <c r="AJ469" s="47"/>
      <c r="AK469" s="46"/>
      <c r="AL469" s="9"/>
      <c r="AM469" s="32"/>
      <c r="AN469" s="42"/>
    </row>
    <row r="470" spans="1:40" x14ac:dyDescent="0.2">
      <c r="A470" s="60"/>
      <c r="B470" s="32"/>
      <c r="C470" s="32"/>
      <c r="D470" s="32"/>
      <c r="E470" s="32"/>
      <c r="F470" s="45"/>
      <c r="G470" s="45"/>
      <c r="H470" s="45"/>
      <c r="I470" s="32"/>
      <c r="J470" s="9"/>
      <c r="K470" s="9"/>
      <c r="L470" s="45"/>
      <c r="M470" s="45"/>
      <c r="N470" s="45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9"/>
      <c r="AF470" s="32"/>
      <c r="AG470" s="46"/>
      <c r="AH470" s="46"/>
      <c r="AI470" s="47"/>
      <c r="AJ470" s="47"/>
      <c r="AK470" s="46"/>
      <c r="AL470" s="9"/>
      <c r="AM470" s="32"/>
      <c r="AN470" s="42"/>
    </row>
    <row r="471" spans="1:40" x14ac:dyDescent="0.2">
      <c r="A471" s="60"/>
      <c r="B471" s="32"/>
      <c r="C471" s="32"/>
      <c r="D471" s="32"/>
      <c r="E471" s="32"/>
      <c r="F471" s="45"/>
      <c r="G471" s="45"/>
      <c r="H471" s="45"/>
      <c r="I471" s="32"/>
      <c r="J471" s="9"/>
      <c r="K471" s="9"/>
      <c r="L471" s="45"/>
      <c r="M471" s="45"/>
      <c r="N471" s="45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9"/>
      <c r="AF471" s="32"/>
      <c r="AG471" s="46"/>
      <c r="AH471" s="46"/>
      <c r="AI471" s="47"/>
      <c r="AJ471" s="47"/>
      <c r="AK471" s="46"/>
      <c r="AL471" s="9"/>
      <c r="AM471" s="32"/>
      <c r="AN471" s="42"/>
    </row>
    <row r="472" spans="1:40" x14ac:dyDescent="0.2">
      <c r="A472" s="60"/>
      <c r="B472" s="32"/>
      <c r="C472" s="32"/>
      <c r="D472" s="32"/>
      <c r="E472" s="32"/>
      <c r="F472" s="45"/>
      <c r="G472" s="45"/>
      <c r="H472" s="45"/>
      <c r="I472" s="32"/>
      <c r="J472" s="9"/>
      <c r="K472" s="9"/>
      <c r="L472" s="45"/>
      <c r="M472" s="45"/>
      <c r="N472" s="45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9"/>
      <c r="AF472" s="32"/>
      <c r="AG472" s="46"/>
      <c r="AH472" s="46"/>
      <c r="AI472" s="47"/>
      <c r="AJ472" s="47"/>
      <c r="AK472" s="46"/>
      <c r="AL472" s="9"/>
      <c r="AM472" s="32"/>
      <c r="AN472" s="42"/>
    </row>
    <row r="473" spans="1:40" x14ac:dyDescent="0.2">
      <c r="A473" s="60"/>
      <c r="B473" s="32"/>
      <c r="C473" s="32"/>
      <c r="D473" s="32"/>
      <c r="E473" s="32"/>
      <c r="F473" s="45"/>
      <c r="G473" s="45"/>
      <c r="H473" s="45"/>
      <c r="I473" s="32"/>
      <c r="J473" s="9"/>
      <c r="K473" s="9"/>
      <c r="L473" s="45"/>
      <c r="M473" s="45"/>
      <c r="N473" s="45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9"/>
      <c r="AF473" s="32"/>
      <c r="AG473" s="46"/>
      <c r="AH473" s="46"/>
      <c r="AI473" s="47"/>
      <c r="AJ473" s="47"/>
      <c r="AK473" s="46"/>
      <c r="AL473" s="9"/>
      <c r="AM473" s="32"/>
      <c r="AN473" s="42"/>
    </row>
    <row r="474" spans="1:40" x14ac:dyDescent="0.2">
      <c r="A474" s="60"/>
      <c r="B474" s="32"/>
      <c r="C474" s="32"/>
      <c r="D474" s="32"/>
      <c r="E474" s="32"/>
      <c r="F474" s="45"/>
      <c r="G474" s="45"/>
      <c r="H474" s="45"/>
      <c r="I474" s="32"/>
      <c r="J474" s="9"/>
      <c r="K474" s="9"/>
      <c r="L474" s="45"/>
      <c r="M474" s="45"/>
      <c r="N474" s="45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9"/>
      <c r="AF474" s="32"/>
      <c r="AG474" s="46"/>
      <c r="AH474" s="46"/>
      <c r="AI474" s="47"/>
      <c r="AJ474" s="47"/>
      <c r="AK474" s="46"/>
      <c r="AL474" s="9"/>
      <c r="AM474" s="32"/>
      <c r="AN474" s="42"/>
    </row>
    <row r="475" spans="1:40" x14ac:dyDescent="0.2">
      <c r="A475" s="60"/>
      <c r="B475" s="32"/>
      <c r="C475" s="32"/>
      <c r="D475" s="32"/>
      <c r="E475" s="32"/>
      <c r="F475" s="45"/>
      <c r="G475" s="45"/>
      <c r="H475" s="45"/>
      <c r="I475" s="32"/>
      <c r="J475" s="9"/>
      <c r="K475" s="9"/>
      <c r="L475" s="45"/>
      <c r="M475" s="45"/>
      <c r="N475" s="45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9"/>
      <c r="AF475" s="32"/>
      <c r="AG475" s="46"/>
      <c r="AH475" s="46"/>
      <c r="AI475" s="47"/>
      <c r="AJ475" s="47"/>
      <c r="AK475" s="46"/>
      <c r="AL475" s="9"/>
      <c r="AM475" s="32"/>
      <c r="AN475" s="42"/>
    </row>
    <row r="476" spans="1:40" x14ac:dyDescent="0.2">
      <c r="A476" s="60"/>
      <c r="B476" s="32"/>
      <c r="C476" s="32"/>
      <c r="D476" s="32"/>
      <c r="E476" s="32"/>
      <c r="F476" s="45"/>
      <c r="G476" s="45"/>
      <c r="H476" s="45"/>
      <c r="I476" s="32"/>
      <c r="J476" s="9"/>
      <c r="K476" s="9"/>
      <c r="L476" s="45"/>
      <c r="M476" s="45"/>
      <c r="N476" s="45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9"/>
      <c r="AF476" s="32"/>
      <c r="AG476" s="46"/>
      <c r="AH476" s="46"/>
      <c r="AI476" s="47"/>
      <c r="AJ476" s="47"/>
      <c r="AK476" s="46"/>
      <c r="AL476" s="9"/>
      <c r="AM476" s="32"/>
      <c r="AN476" s="42"/>
    </row>
    <row r="477" spans="1:40" x14ac:dyDescent="0.2">
      <c r="A477" s="60"/>
      <c r="B477" s="32"/>
      <c r="C477" s="32"/>
      <c r="D477" s="32"/>
      <c r="E477" s="32"/>
      <c r="F477" s="45"/>
      <c r="G477" s="45"/>
      <c r="H477" s="45"/>
      <c r="I477" s="32"/>
      <c r="J477" s="9"/>
      <c r="K477" s="9"/>
      <c r="L477" s="45"/>
      <c r="M477" s="45"/>
      <c r="N477" s="45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9"/>
      <c r="AF477" s="32"/>
      <c r="AG477" s="46"/>
      <c r="AH477" s="46"/>
      <c r="AI477" s="47"/>
      <c r="AJ477" s="47"/>
      <c r="AK477" s="46"/>
      <c r="AL477" s="9"/>
      <c r="AM477" s="32"/>
      <c r="AN477" s="42"/>
    </row>
    <row r="478" spans="1:40" x14ac:dyDescent="0.2">
      <c r="A478" s="60"/>
      <c r="B478" s="32"/>
      <c r="C478" s="32"/>
      <c r="D478" s="32"/>
      <c r="E478" s="32"/>
      <c r="F478" s="45"/>
      <c r="G478" s="45"/>
      <c r="H478" s="45"/>
      <c r="I478" s="32"/>
      <c r="J478" s="9"/>
      <c r="K478" s="9"/>
      <c r="L478" s="45"/>
      <c r="M478" s="45"/>
      <c r="N478" s="45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9"/>
      <c r="AF478" s="32"/>
      <c r="AG478" s="46"/>
      <c r="AH478" s="46"/>
      <c r="AI478" s="47"/>
      <c r="AJ478" s="47"/>
      <c r="AK478" s="46"/>
      <c r="AL478" s="9"/>
      <c r="AM478" s="32"/>
      <c r="AN478" s="42"/>
    </row>
    <row r="479" spans="1:40" x14ac:dyDescent="0.2">
      <c r="A479" s="60"/>
      <c r="B479" s="32"/>
      <c r="C479" s="32"/>
      <c r="D479" s="32"/>
      <c r="E479" s="32"/>
      <c r="F479" s="45"/>
      <c r="G479" s="45"/>
      <c r="H479" s="45"/>
      <c r="I479" s="32"/>
      <c r="J479" s="9"/>
      <c r="K479" s="9"/>
      <c r="L479" s="45"/>
      <c r="M479" s="45"/>
      <c r="N479" s="45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9"/>
      <c r="AF479" s="32"/>
      <c r="AG479" s="46"/>
      <c r="AH479" s="46"/>
      <c r="AI479" s="47"/>
      <c r="AJ479" s="47"/>
      <c r="AK479" s="46"/>
      <c r="AL479" s="9"/>
      <c r="AM479" s="32"/>
      <c r="AN479" s="42"/>
    </row>
    <row r="480" spans="1:40" x14ac:dyDescent="0.2">
      <c r="A480" s="60"/>
      <c r="B480" s="32"/>
      <c r="C480" s="32"/>
      <c r="D480" s="32"/>
      <c r="E480" s="32"/>
      <c r="F480" s="45"/>
      <c r="G480" s="45"/>
      <c r="H480" s="45"/>
      <c r="I480" s="32"/>
      <c r="J480" s="9"/>
      <c r="K480" s="9"/>
      <c r="L480" s="45"/>
      <c r="M480" s="45"/>
      <c r="N480" s="45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9"/>
      <c r="AF480" s="32"/>
      <c r="AG480" s="46"/>
      <c r="AH480" s="46"/>
      <c r="AI480" s="47"/>
      <c r="AJ480" s="47"/>
      <c r="AK480" s="46"/>
      <c r="AL480" s="9"/>
      <c r="AM480" s="32"/>
      <c r="AN480" s="42"/>
    </row>
    <row r="481" spans="1:40" x14ac:dyDescent="0.2">
      <c r="A481" s="60"/>
      <c r="B481" s="32"/>
      <c r="C481" s="32"/>
      <c r="D481" s="32"/>
      <c r="E481" s="32"/>
      <c r="F481" s="45"/>
      <c r="G481" s="45"/>
      <c r="H481" s="45"/>
      <c r="I481" s="32"/>
      <c r="J481" s="9"/>
      <c r="K481" s="9"/>
      <c r="L481" s="45"/>
      <c r="M481" s="45"/>
      <c r="N481" s="45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9"/>
      <c r="AF481" s="32"/>
      <c r="AG481" s="46"/>
      <c r="AH481" s="46"/>
      <c r="AI481" s="47"/>
      <c r="AJ481" s="47"/>
      <c r="AK481" s="46"/>
      <c r="AL481" s="9"/>
      <c r="AM481" s="32"/>
      <c r="AN481" s="42"/>
    </row>
    <row r="482" spans="1:40" x14ac:dyDescent="0.2">
      <c r="A482" s="60"/>
      <c r="B482" s="32"/>
      <c r="C482" s="32"/>
      <c r="D482" s="32"/>
      <c r="E482" s="32"/>
      <c r="F482" s="45"/>
      <c r="G482" s="45"/>
      <c r="H482" s="45"/>
      <c r="I482" s="32"/>
      <c r="J482" s="9"/>
      <c r="K482" s="9"/>
      <c r="L482" s="45"/>
      <c r="M482" s="45"/>
      <c r="N482" s="45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9"/>
      <c r="AF482" s="32"/>
      <c r="AG482" s="46"/>
      <c r="AH482" s="46"/>
      <c r="AI482" s="47"/>
      <c r="AJ482" s="47"/>
      <c r="AK482" s="46"/>
      <c r="AL482" s="9"/>
      <c r="AM482" s="32"/>
      <c r="AN482" s="42"/>
    </row>
    <row r="483" spans="1:40" x14ac:dyDescent="0.2">
      <c r="A483" s="60"/>
      <c r="B483" s="32"/>
      <c r="C483" s="32"/>
      <c r="D483" s="32"/>
      <c r="E483" s="32"/>
      <c r="F483" s="45"/>
      <c r="G483" s="45"/>
      <c r="H483" s="45"/>
      <c r="I483" s="32"/>
      <c r="J483" s="9"/>
      <c r="K483" s="9"/>
      <c r="L483" s="45"/>
      <c r="M483" s="45"/>
      <c r="N483" s="45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9"/>
      <c r="AF483" s="32"/>
      <c r="AG483" s="46"/>
      <c r="AH483" s="46"/>
      <c r="AI483" s="47"/>
      <c r="AJ483" s="47"/>
      <c r="AK483" s="46"/>
      <c r="AL483" s="9"/>
      <c r="AM483" s="32"/>
      <c r="AN483" s="42"/>
    </row>
    <row r="484" spans="1:40" x14ac:dyDescent="0.2">
      <c r="A484" s="60"/>
      <c r="B484" s="32"/>
      <c r="C484" s="32"/>
      <c r="D484" s="32"/>
      <c r="E484" s="32"/>
      <c r="F484" s="45"/>
      <c r="G484" s="45"/>
      <c r="H484" s="45"/>
      <c r="I484" s="32"/>
      <c r="J484" s="9"/>
      <c r="K484" s="9"/>
      <c r="L484" s="45"/>
      <c r="M484" s="45"/>
      <c r="N484" s="45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9"/>
      <c r="AF484" s="32"/>
      <c r="AG484" s="46"/>
      <c r="AH484" s="46"/>
      <c r="AI484" s="47"/>
      <c r="AJ484" s="47"/>
      <c r="AK484" s="46"/>
      <c r="AL484" s="9"/>
      <c r="AM484" s="32"/>
      <c r="AN484" s="42"/>
    </row>
    <row r="485" spans="1:40" x14ac:dyDescent="0.2">
      <c r="A485" s="60"/>
      <c r="B485" s="32"/>
      <c r="C485" s="32"/>
      <c r="D485" s="32"/>
      <c r="E485" s="32"/>
      <c r="F485" s="45"/>
      <c r="G485" s="45"/>
      <c r="H485" s="45"/>
      <c r="I485" s="32"/>
      <c r="J485" s="9"/>
      <c r="K485" s="9"/>
      <c r="L485" s="45"/>
      <c r="M485" s="45"/>
      <c r="N485" s="45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9"/>
      <c r="AF485" s="32"/>
      <c r="AG485" s="46"/>
      <c r="AH485" s="46"/>
      <c r="AI485" s="47"/>
      <c r="AJ485" s="47"/>
      <c r="AK485" s="46"/>
      <c r="AL485" s="9"/>
      <c r="AM485" s="32"/>
      <c r="AN485" s="42"/>
    </row>
    <row r="486" spans="1:40" x14ac:dyDescent="0.2">
      <c r="A486" s="60"/>
      <c r="B486" s="32"/>
      <c r="C486" s="32"/>
      <c r="D486" s="32"/>
      <c r="E486" s="32"/>
      <c r="F486" s="45"/>
      <c r="G486" s="45"/>
      <c r="H486" s="45"/>
      <c r="I486" s="32"/>
      <c r="J486" s="9"/>
      <c r="K486" s="9"/>
      <c r="L486" s="45"/>
      <c r="M486" s="45"/>
      <c r="N486" s="45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9"/>
      <c r="AF486" s="32"/>
      <c r="AG486" s="46"/>
      <c r="AH486" s="46"/>
      <c r="AI486" s="47"/>
      <c r="AJ486" s="47"/>
      <c r="AK486" s="46"/>
      <c r="AL486" s="9"/>
      <c r="AM486" s="32"/>
      <c r="AN486" s="42"/>
    </row>
    <row r="487" spans="1:40" x14ac:dyDescent="0.2">
      <c r="A487" s="60"/>
      <c r="B487" s="32"/>
      <c r="C487" s="32"/>
      <c r="D487" s="32"/>
      <c r="E487" s="32"/>
      <c r="F487" s="45"/>
      <c r="G487" s="45"/>
      <c r="H487" s="45"/>
      <c r="I487" s="32"/>
      <c r="J487" s="9"/>
      <c r="K487" s="9"/>
      <c r="L487" s="45"/>
      <c r="M487" s="45"/>
      <c r="N487" s="45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9"/>
      <c r="AF487" s="32"/>
      <c r="AG487" s="46"/>
      <c r="AH487" s="46"/>
      <c r="AI487" s="47"/>
      <c r="AJ487" s="47"/>
      <c r="AK487" s="46"/>
      <c r="AL487" s="9"/>
      <c r="AM487" s="32"/>
      <c r="AN487" s="42"/>
    </row>
    <row r="488" spans="1:40" x14ac:dyDescent="0.2">
      <c r="A488" s="60"/>
      <c r="B488" s="32"/>
      <c r="C488" s="32"/>
      <c r="D488" s="32"/>
      <c r="E488" s="32"/>
      <c r="F488" s="45"/>
      <c r="G488" s="45"/>
      <c r="H488" s="45"/>
      <c r="I488" s="32"/>
      <c r="J488" s="9"/>
      <c r="K488" s="9"/>
      <c r="L488" s="45"/>
      <c r="M488" s="45"/>
      <c r="N488" s="45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9"/>
      <c r="AF488" s="32"/>
      <c r="AG488" s="46"/>
      <c r="AH488" s="46"/>
      <c r="AI488" s="47"/>
      <c r="AJ488" s="47"/>
      <c r="AK488" s="46"/>
      <c r="AL488" s="9"/>
      <c r="AM488" s="32"/>
      <c r="AN488" s="42"/>
    </row>
    <row r="489" spans="1:40" x14ac:dyDescent="0.2">
      <c r="A489" s="60"/>
      <c r="B489" s="32"/>
      <c r="C489" s="32"/>
      <c r="D489" s="32"/>
      <c r="E489" s="32"/>
      <c r="F489" s="45"/>
      <c r="G489" s="45"/>
      <c r="H489" s="45"/>
      <c r="I489" s="32"/>
      <c r="J489" s="9"/>
      <c r="K489" s="9"/>
      <c r="L489" s="45"/>
      <c r="M489" s="45"/>
      <c r="N489" s="45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9"/>
      <c r="AF489" s="32"/>
      <c r="AG489" s="46"/>
      <c r="AH489" s="46"/>
      <c r="AI489" s="47"/>
      <c r="AJ489" s="47"/>
      <c r="AK489" s="46"/>
      <c r="AL489" s="9"/>
      <c r="AM489" s="32"/>
      <c r="AN489" s="42"/>
    </row>
    <row r="490" spans="1:40" x14ac:dyDescent="0.2">
      <c r="A490" s="60"/>
      <c r="B490" s="32"/>
      <c r="C490" s="32"/>
      <c r="D490" s="32"/>
      <c r="E490" s="32"/>
      <c r="F490" s="45"/>
      <c r="G490" s="45"/>
      <c r="H490" s="45"/>
      <c r="I490" s="32"/>
      <c r="J490" s="9"/>
      <c r="K490" s="9"/>
      <c r="L490" s="45"/>
      <c r="M490" s="45"/>
      <c r="N490" s="45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9"/>
      <c r="AF490" s="32"/>
      <c r="AG490" s="46"/>
      <c r="AH490" s="46"/>
      <c r="AI490" s="47"/>
      <c r="AJ490" s="47"/>
      <c r="AK490" s="46"/>
      <c r="AL490" s="9"/>
      <c r="AM490" s="32"/>
      <c r="AN490" s="42"/>
    </row>
    <row r="491" spans="1:40" x14ac:dyDescent="0.2">
      <c r="A491" s="60"/>
      <c r="B491" s="32"/>
      <c r="C491" s="32"/>
      <c r="D491" s="32"/>
      <c r="E491" s="32"/>
      <c r="F491" s="45"/>
      <c r="G491" s="45"/>
      <c r="H491" s="45"/>
      <c r="I491" s="32"/>
      <c r="J491" s="9"/>
      <c r="K491" s="9"/>
      <c r="L491" s="45"/>
      <c r="M491" s="45"/>
      <c r="N491" s="45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9"/>
      <c r="AF491" s="32"/>
      <c r="AG491" s="46"/>
      <c r="AH491" s="46"/>
      <c r="AI491" s="47"/>
      <c r="AJ491" s="47"/>
      <c r="AK491" s="46"/>
      <c r="AL491" s="9"/>
      <c r="AM491" s="32"/>
      <c r="AN491" s="42"/>
    </row>
    <row r="492" spans="1:40" x14ac:dyDescent="0.2">
      <c r="A492" s="60"/>
      <c r="B492" s="32"/>
      <c r="C492" s="32"/>
      <c r="D492" s="32"/>
      <c r="E492" s="32"/>
      <c r="F492" s="45"/>
      <c r="G492" s="45"/>
      <c r="H492" s="45"/>
      <c r="I492" s="32"/>
      <c r="J492" s="9"/>
      <c r="K492" s="9"/>
      <c r="L492" s="45"/>
      <c r="M492" s="45"/>
      <c r="N492" s="45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9"/>
      <c r="AF492" s="32"/>
      <c r="AG492" s="46"/>
      <c r="AH492" s="46"/>
      <c r="AI492" s="47"/>
      <c r="AJ492" s="47"/>
      <c r="AK492" s="46"/>
      <c r="AL492" s="9"/>
      <c r="AM492" s="32"/>
      <c r="AN492" s="42"/>
    </row>
    <row r="493" spans="1:40" x14ac:dyDescent="0.2">
      <c r="A493" s="60"/>
      <c r="B493" s="32"/>
      <c r="C493" s="32"/>
      <c r="D493" s="32"/>
      <c r="E493" s="32"/>
      <c r="F493" s="45"/>
      <c r="G493" s="45"/>
      <c r="H493" s="45"/>
      <c r="I493" s="32"/>
      <c r="J493" s="9"/>
      <c r="K493" s="9"/>
      <c r="L493" s="45"/>
      <c r="M493" s="45"/>
      <c r="N493" s="45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9"/>
      <c r="AF493" s="32"/>
      <c r="AG493" s="46"/>
      <c r="AH493" s="46"/>
      <c r="AI493" s="47"/>
      <c r="AJ493" s="47"/>
      <c r="AK493" s="46"/>
      <c r="AL493" s="9"/>
      <c r="AM493" s="32"/>
      <c r="AN493" s="42"/>
    </row>
    <row r="494" spans="1:40" x14ac:dyDescent="0.2">
      <c r="A494" s="60"/>
      <c r="B494" s="32"/>
      <c r="C494" s="32"/>
      <c r="D494" s="32"/>
      <c r="E494" s="32"/>
      <c r="F494" s="45"/>
      <c r="G494" s="45"/>
      <c r="H494" s="45"/>
      <c r="I494" s="32"/>
      <c r="J494" s="9"/>
      <c r="K494" s="9"/>
      <c r="L494" s="45"/>
      <c r="M494" s="45"/>
      <c r="N494" s="45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9"/>
      <c r="AF494" s="32"/>
      <c r="AG494" s="46"/>
      <c r="AH494" s="46"/>
      <c r="AI494" s="47"/>
      <c r="AJ494" s="47"/>
      <c r="AK494" s="46"/>
      <c r="AL494" s="9"/>
      <c r="AM494" s="32"/>
      <c r="AN494" s="42"/>
    </row>
    <row r="495" spans="1:40" x14ac:dyDescent="0.2">
      <c r="A495" s="60"/>
      <c r="B495" s="32"/>
      <c r="C495" s="32"/>
      <c r="D495" s="32"/>
      <c r="E495" s="32"/>
      <c r="F495" s="45"/>
      <c r="G495" s="45"/>
      <c r="H495" s="45"/>
      <c r="I495" s="32"/>
      <c r="J495" s="9"/>
      <c r="K495" s="9"/>
      <c r="L495" s="45"/>
      <c r="M495" s="45"/>
      <c r="N495" s="45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9"/>
      <c r="AF495" s="32"/>
      <c r="AG495" s="46"/>
      <c r="AH495" s="46"/>
      <c r="AI495" s="47"/>
      <c r="AJ495" s="47"/>
      <c r="AK495" s="46"/>
      <c r="AL495" s="9"/>
      <c r="AM495" s="32"/>
      <c r="AN495" s="42"/>
    </row>
    <row r="496" spans="1:40" x14ac:dyDescent="0.2">
      <c r="A496" s="60"/>
      <c r="B496" s="32"/>
      <c r="C496" s="32"/>
      <c r="D496" s="32"/>
      <c r="E496" s="32"/>
      <c r="F496" s="45"/>
      <c r="G496" s="45"/>
      <c r="H496" s="45"/>
      <c r="I496" s="32"/>
      <c r="J496" s="9"/>
      <c r="K496" s="9"/>
      <c r="L496" s="45"/>
      <c r="M496" s="45"/>
      <c r="N496" s="45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9"/>
      <c r="AF496" s="32"/>
      <c r="AG496" s="46"/>
      <c r="AH496" s="46"/>
      <c r="AI496" s="47"/>
      <c r="AJ496" s="47"/>
      <c r="AK496" s="46"/>
      <c r="AL496" s="9"/>
      <c r="AM496" s="32"/>
      <c r="AN496" s="42"/>
    </row>
    <row r="497" spans="1:40" x14ac:dyDescent="0.2">
      <c r="A497" s="60"/>
      <c r="B497" s="32"/>
      <c r="C497" s="32"/>
      <c r="D497" s="32"/>
      <c r="E497" s="32"/>
      <c r="F497" s="45"/>
      <c r="G497" s="45"/>
      <c r="H497" s="45"/>
      <c r="I497" s="32"/>
      <c r="J497" s="9"/>
      <c r="K497" s="9"/>
      <c r="L497" s="45"/>
      <c r="M497" s="45"/>
      <c r="N497" s="45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9"/>
      <c r="AF497" s="32"/>
      <c r="AG497" s="46"/>
      <c r="AH497" s="46"/>
      <c r="AI497" s="47"/>
      <c r="AJ497" s="47"/>
      <c r="AK497" s="46"/>
      <c r="AL497" s="9"/>
      <c r="AM497" s="32"/>
      <c r="AN497" s="42"/>
    </row>
    <row r="498" spans="1:40" x14ac:dyDescent="0.2">
      <c r="A498" s="60"/>
      <c r="B498" s="32"/>
      <c r="C498" s="32"/>
      <c r="D498" s="32"/>
      <c r="E498" s="32"/>
      <c r="F498" s="45"/>
      <c r="G498" s="45"/>
      <c r="H498" s="45"/>
      <c r="I498" s="32"/>
      <c r="J498" s="9"/>
      <c r="K498" s="9"/>
      <c r="L498" s="45"/>
      <c r="M498" s="45"/>
      <c r="N498" s="45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9"/>
      <c r="AF498" s="32"/>
      <c r="AG498" s="46"/>
      <c r="AH498" s="46"/>
      <c r="AI498" s="47"/>
      <c r="AJ498" s="47"/>
      <c r="AK498" s="46"/>
      <c r="AL498" s="9"/>
      <c r="AM498" s="32"/>
      <c r="AN498" s="42"/>
    </row>
    <row r="499" spans="1:40" x14ac:dyDescent="0.2">
      <c r="A499" s="60"/>
      <c r="B499" s="32"/>
      <c r="C499" s="32"/>
      <c r="D499" s="32"/>
      <c r="E499" s="32"/>
      <c r="F499" s="45"/>
      <c r="G499" s="45"/>
      <c r="H499" s="45"/>
      <c r="I499" s="32"/>
      <c r="J499" s="9"/>
      <c r="K499" s="9"/>
      <c r="L499" s="45"/>
      <c r="M499" s="45"/>
      <c r="N499" s="45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9"/>
      <c r="AF499" s="32"/>
      <c r="AG499" s="46"/>
      <c r="AH499" s="46"/>
      <c r="AI499" s="47"/>
      <c r="AJ499" s="47"/>
      <c r="AK499" s="46"/>
      <c r="AL499" s="9"/>
      <c r="AM499" s="32"/>
      <c r="AN499" s="42"/>
    </row>
    <row r="500" spans="1:40" x14ac:dyDescent="0.2">
      <c r="A500" s="60"/>
      <c r="B500" s="32"/>
      <c r="C500" s="32"/>
      <c r="D500" s="32"/>
      <c r="E500" s="32"/>
      <c r="F500" s="45"/>
      <c r="G500" s="45"/>
      <c r="H500" s="45"/>
      <c r="I500" s="32"/>
      <c r="J500" s="9"/>
      <c r="K500" s="9"/>
      <c r="L500" s="45"/>
      <c r="M500" s="45"/>
      <c r="N500" s="45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9"/>
      <c r="AF500" s="32"/>
      <c r="AG500" s="46"/>
      <c r="AH500" s="46"/>
      <c r="AI500" s="47"/>
      <c r="AJ500" s="47"/>
      <c r="AK500" s="46"/>
      <c r="AL500" s="9"/>
      <c r="AM500" s="32"/>
      <c r="AN500" s="42"/>
    </row>
    <row r="501" spans="1:40" x14ac:dyDescent="0.2">
      <c r="A501" s="60"/>
      <c r="B501" s="32"/>
      <c r="C501" s="32"/>
      <c r="D501" s="32"/>
      <c r="E501" s="32"/>
      <c r="F501" s="45"/>
      <c r="G501" s="45"/>
      <c r="H501" s="45"/>
      <c r="I501" s="32"/>
      <c r="J501" s="9"/>
      <c r="K501" s="9"/>
      <c r="L501" s="45"/>
      <c r="M501" s="45"/>
      <c r="N501" s="45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9"/>
      <c r="AF501" s="32"/>
      <c r="AG501" s="46"/>
      <c r="AH501" s="46"/>
      <c r="AI501" s="47"/>
      <c r="AJ501" s="47"/>
      <c r="AK501" s="46"/>
      <c r="AL501" s="9"/>
      <c r="AM501" s="32"/>
      <c r="AN501" s="42"/>
    </row>
    <row r="502" spans="1:40" x14ac:dyDescent="0.2">
      <c r="A502" s="60"/>
      <c r="B502" s="32"/>
      <c r="C502" s="32"/>
      <c r="D502" s="32"/>
      <c r="E502" s="32"/>
      <c r="F502" s="45"/>
      <c r="G502" s="45"/>
      <c r="H502" s="45"/>
      <c r="I502" s="32"/>
      <c r="J502" s="9"/>
      <c r="K502" s="9"/>
      <c r="L502" s="45"/>
      <c r="M502" s="45"/>
      <c r="N502" s="45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9"/>
      <c r="AF502" s="32"/>
      <c r="AG502" s="46"/>
      <c r="AH502" s="46"/>
      <c r="AI502" s="47"/>
      <c r="AJ502" s="47"/>
      <c r="AK502" s="46"/>
      <c r="AL502" s="9"/>
      <c r="AM502" s="32"/>
      <c r="AN502" s="42"/>
    </row>
    <row r="503" spans="1:40" x14ac:dyDescent="0.2">
      <c r="A503" s="60"/>
      <c r="B503" s="32"/>
      <c r="C503" s="32"/>
      <c r="D503" s="32"/>
      <c r="E503" s="32"/>
      <c r="F503" s="45"/>
      <c r="G503" s="45"/>
      <c r="H503" s="45"/>
      <c r="I503" s="32"/>
      <c r="J503" s="9"/>
      <c r="K503" s="9"/>
      <c r="L503" s="45"/>
      <c r="M503" s="45"/>
      <c r="N503" s="45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9"/>
      <c r="AF503" s="32"/>
      <c r="AG503" s="46"/>
      <c r="AH503" s="46"/>
      <c r="AI503" s="47"/>
      <c r="AJ503" s="47"/>
      <c r="AK503" s="46"/>
      <c r="AL503" s="9"/>
      <c r="AM503" s="32"/>
      <c r="AN503" s="42"/>
    </row>
    <row r="504" spans="1:40" x14ac:dyDescent="0.2">
      <c r="A504" s="60"/>
      <c r="B504" s="32"/>
      <c r="C504" s="32"/>
      <c r="D504" s="32"/>
      <c r="E504" s="32"/>
      <c r="F504" s="45"/>
      <c r="G504" s="45"/>
      <c r="H504" s="45"/>
      <c r="I504" s="32"/>
      <c r="J504" s="9"/>
      <c r="K504" s="9"/>
      <c r="L504" s="45"/>
      <c r="M504" s="45"/>
      <c r="N504" s="45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9"/>
      <c r="AF504" s="32"/>
      <c r="AG504" s="46"/>
      <c r="AH504" s="46"/>
      <c r="AI504" s="47"/>
      <c r="AJ504" s="47"/>
      <c r="AK504" s="46"/>
      <c r="AL504" s="9"/>
      <c r="AM504" s="32"/>
      <c r="AN504" s="42"/>
    </row>
    <row r="505" spans="1:40" x14ac:dyDescent="0.2">
      <c r="A505" s="60"/>
      <c r="B505" s="32"/>
      <c r="C505" s="32"/>
      <c r="D505" s="32"/>
      <c r="E505" s="32"/>
      <c r="F505" s="45"/>
      <c r="G505" s="45"/>
      <c r="H505" s="45"/>
      <c r="I505" s="32"/>
      <c r="J505" s="9"/>
      <c r="K505" s="9"/>
      <c r="L505" s="45"/>
      <c r="M505" s="45"/>
      <c r="N505" s="45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9"/>
      <c r="AF505" s="32"/>
      <c r="AG505" s="46"/>
      <c r="AH505" s="46"/>
      <c r="AI505" s="47"/>
      <c r="AJ505" s="47"/>
      <c r="AK505" s="46"/>
      <c r="AL505" s="9"/>
      <c r="AM505" s="32"/>
      <c r="AN505" s="42"/>
    </row>
    <row r="506" spans="1:40" x14ac:dyDescent="0.2">
      <c r="A506" s="60"/>
      <c r="B506" s="32"/>
      <c r="C506" s="32"/>
      <c r="D506" s="32"/>
      <c r="E506" s="32"/>
      <c r="F506" s="45"/>
      <c r="G506" s="45"/>
      <c r="H506" s="45"/>
      <c r="I506" s="32"/>
      <c r="J506" s="9"/>
      <c r="K506" s="9"/>
      <c r="L506" s="45"/>
      <c r="M506" s="45"/>
      <c r="N506" s="45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9"/>
      <c r="AF506" s="32"/>
      <c r="AG506" s="46"/>
      <c r="AH506" s="46"/>
      <c r="AI506" s="47"/>
      <c r="AJ506" s="47"/>
      <c r="AK506" s="46"/>
      <c r="AL506" s="9"/>
      <c r="AM506" s="32"/>
      <c r="AN506" s="42"/>
    </row>
    <row r="507" spans="1:40" x14ac:dyDescent="0.2">
      <c r="A507" s="60"/>
      <c r="B507" s="32"/>
      <c r="C507" s="32"/>
      <c r="D507" s="32"/>
      <c r="E507" s="32"/>
      <c r="F507" s="45"/>
      <c r="G507" s="45"/>
      <c r="H507" s="45"/>
      <c r="I507" s="32"/>
      <c r="J507" s="9"/>
      <c r="K507" s="9"/>
      <c r="L507" s="45"/>
      <c r="M507" s="45"/>
      <c r="N507" s="45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9"/>
      <c r="AF507" s="32"/>
      <c r="AG507" s="46"/>
      <c r="AH507" s="46"/>
      <c r="AI507" s="47"/>
      <c r="AJ507" s="47"/>
      <c r="AK507" s="46"/>
      <c r="AL507" s="9"/>
      <c r="AM507" s="32"/>
      <c r="AN507" s="42"/>
    </row>
    <row r="508" spans="1:40" x14ac:dyDescent="0.2">
      <c r="A508" s="60"/>
      <c r="B508" s="32"/>
      <c r="C508" s="32"/>
      <c r="D508" s="32"/>
      <c r="E508" s="32"/>
      <c r="F508" s="45"/>
      <c r="G508" s="45"/>
      <c r="H508" s="45"/>
      <c r="I508" s="32"/>
      <c r="J508" s="9"/>
      <c r="K508" s="9"/>
      <c r="L508" s="45"/>
      <c r="M508" s="45"/>
      <c r="N508" s="45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9"/>
      <c r="AF508" s="32"/>
      <c r="AG508" s="46"/>
      <c r="AH508" s="46"/>
      <c r="AI508" s="47"/>
      <c r="AJ508" s="47"/>
      <c r="AK508" s="46"/>
      <c r="AL508" s="9"/>
      <c r="AM508" s="32"/>
      <c r="AN508" s="42"/>
    </row>
    <row r="509" spans="1:40" x14ac:dyDescent="0.2">
      <c r="A509" s="60"/>
      <c r="B509" s="32"/>
      <c r="C509" s="32"/>
      <c r="D509" s="32"/>
      <c r="E509" s="32"/>
      <c r="F509" s="45"/>
      <c r="G509" s="45"/>
      <c r="H509" s="45"/>
      <c r="I509" s="32"/>
      <c r="J509" s="9"/>
      <c r="K509" s="9"/>
      <c r="L509" s="45"/>
      <c r="M509" s="45"/>
      <c r="N509" s="45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9"/>
      <c r="AF509" s="32"/>
      <c r="AG509" s="46"/>
      <c r="AH509" s="46"/>
      <c r="AI509" s="47"/>
      <c r="AJ509" s="47"/>
      <c r="AK509" s="46"/>
      <c r="AL509" s="9"/>
      <c r="AM509" s="32"/>
      <c r="AN509" s="42"/>
    </row>
    <row r="510" spans="1:40" x14ac:dyDescent="0.2">
      <c r="A510" s="60"/>
      <c r="B510" s="32"/>
      <c r="C510" s="32"/>
      <c r="D510" s="32"/>
      <c r="E510" s="32"/>
      <c r="F510" s="45"/>
      <c r="G510" s="45"/>
      <c r="H510" s="45"/>
      <c r="I510" s="32"/>
      <c r="J510" s="9"/>
      <c r="K510" s="9"/>
      <c r="L510" s="45"/>
      <c r="M510" s="45"/>
      <c r="N510" s="45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9"/>
      <c r="AF510" s="32"/>
      <c r="AG510" s="46"/>
      <c r="AH510" s="46"/>
      <c r="AI510" s="47"/>
      <c r="AJ510" s="47"/>
      <c r="AK510" s="46"/>
      <c r="AL510" s="9"/>
      <c r="AM510" s="32"/>
      <c r="AN510" s="42"/>
    </row>
    <row r="511" spans="1:40" x14ac:dyDescent="0.2">
      <c r="A511" s="60"/>
      <c r="B511" s="32"/>
      <c r="C511" s="32"/>
      <c r="D511" s="32"/>
      <c r="E511" s="32"/>
      <c r="F511" s="45"/>
      <c r="G511" s="45"/>
      <c r="H511" s="45"/>
      <c r="I511" s="32"/>
      <c r="J511" s="9"/>
      <c r="K511" s="9"/>
      <c r="L511" s="45"/>
      <c r="M511" s="45"/>
      <c r="N511" s="45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9"/>
      <c r="AF511" s="32"/>
      <c r="AG511" s="46"/>
      <c r="AH511" s="46"/>
      <c r="AI511" s="47"/>
      <c r="AJ511" s="47"/>
      <c r="AK511" s="46"/>
      <c r="AL511" s="9"/>
      <c r="AM511" s="32"/>
      <c r="AN511" s="42"/>
    </row>
    <row r="512" spans="1:40" x14ac:dyDescent="0.2">
      <c r="A512" s="60"/>
      <c r="B512" s="32"/>
      <c r="C512" s="32"/>
      <c r="D512" s="32"/>
      <c r="E512" s="32"/>
      <c r="F512" s="45"/>
      <c r="G512" s="45"/>
      <c r="H512" s="45"/>
      <c r="I512" s="32"/>
      <c r="J512" s="9"/>
      <c r="K512" s="9"/>
      <c r="L512" s="45"/>
      <c r="M512" s="45"/>
      <c r="N512" s="45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9"/>
      <c r="AF512" s="32"/>
      <c r="AG512" s="46"/>
      <c r="AH512" s="46"/>
      <c r="AI512" s="47"/>
      <c r="AJ512" s="47"/>
      <c r="AK512" s="46"/>
      <c r="AL512" s="9"/>
      <c r="AM512" s="32"/>
      <c r="AN512" s="42"/>
    </row>
    <row r="513" spans="1:40" x14ac:dyDescent="0.2">
      <c r="A513" s="60"/>
      <c r="B513" s="32"/>
      <c r="C513" s="32"/>
      <c r="D513" s="32"/>
      <c r="E513" s="32"/>
      <c r="F513" s="45"/>
      <c r="G513" s="45"/>
      <c r="H513" s="45"/>
      <c r="I513" s="32"/>
      <c r="J513" s="9"/>
      <c r="K513" s="9"/>
      <c r="L513" s="45"/>
      <c r="M513" s="45"/>
      <c r="N513" s="45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9"/>
      <c r="AF513" s="32"/>
      <c r="AG513" s="46"/>
      <c r="AH513" s="46"/>
      <c r="AI513" s="47"/>
      <c r="AJ513" s="47"/>
      <c r="AK513" s="46"/>
      <c r="AL513" s="9"/>
      <c r="AM513" s="32"/>
      <c r="AN513" s="42"/>
    </row>
    <row r="514" spans="1:40" x14ac:dyDescent="0.2">
      <c r="A514" s="60"/>
      <c r="B514" s="32"/>
      <c r="C514" s="32"/>
      <c r="D514" s="32"/>
      <c r="E514" s="32"/>
      <c r="F514" s="45"/>
      <c r="G514" s="45"/>
      <c r="H514" s="45"/>
      <c r="I514" s="32"/>
      <c r="J514" s="9"/>
      <c r="K514" s="9"/>
      <c r="L514" s="45"/>
      <c r="M514" s="45"/>
      <c r="N514" s="45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9"/>
      <c r="AF514" s="32"/>
      <c r="AG514" s="46"/>
      <c r="AH514" s="46"/>
      <c r="AI514" s="47"/>
      <c r="AJ514" s="47"/>
      <c r="AK514" s="46"/>
      <c r="AL514" s="9"/>
      <c r="AM514" s="32"/>
      <c r="AN514" s="42"/>
    </row>
    <row r="515" spans="1:40" x14ac:dyDescent="0.2">
      <c r="A515" s="60"/>
      <c r="B515" s="32"/>
      <c r="C515" s="32"/>
      <c r="D515" s="32"/>
      <c r="E515" s="32"/>
      <c r="F515" s="45"/>
      <c r="G515" s="45"/>
      <c r="H515" s="45"/>
      <c r="I515" s="32"/>
      <c r="J515" s="9"/>
      <c r="K515" s="9"/>
      <c r="L515" s="45"/>
      <c r="M515" s="45"/>
      <c r="N515" s="45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9"/>
      <c r="AF515" s="32"/>
      <c r="AG515" s="46"/>
      <c r="AH515" s="46"/>
      <c r="AI515" s="47"/>
      <c r="AJ515" s="47"/>
      <c r="AK515" s="46"/>
      <c r="AL515" s="9"/>
      <c r="AM515" s="32"/>
      <c r="AN515" s="42"/>
    </row>
    <row r="516" spans="1:40" x14ac:dyDescent="0.2">
      <c r="A516" s="60"/>
      <c r="B516" s="32"/>
      <c r="C516" s="32"/>
      <c r="D516" s="32"/>
      <c r="E516" s="32"/>
      <c r="F516" s="45"/>
      <c r="G516" s="45"/>
      <c r="H516" s="45"/>
      <c r="I516" s="32"/>
      <c r="J516" s="9"/>
      <c r="K516" s="9"/>
      <c r="L516" s="45"/>
      <c r="M516" s="45"/>
      <c r="N516" s="45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9"/>
      <c r="AF516" s="32"/>
      <c r="AG516" s="46"/>
      <c r="AH516" s="46"/>
      <c r="AI516" s="47"/>
      <c r="AJ516" s="47"/>
      <c r="AK516" s="46"/>
      <c r="AL516" s="9"/>
      <c r="AM516" s="32"/>
      <c r="AN516" s="42"/>
    </row>
    <row r="517" spans="1:40" x14ac:dyDescent="0.2">
      <c r="A517" s="60"/>
      <c r="B517" s="32"/>
      <c r="C517" s="32"/>
      <c r="D517" s="32"/>
      <c r="E517" s="32"/>
      <c r="F517" s="45"/>
      <c r="G517" s="45"/>
      <c r="H517" s="45"/>
      <c r="I517" s="32"/>
      <c r="J517" s="9"/>
      <c r="K517" s="9"/>
      <c r="L517" s="45"/>
      <c r="M517" s="45"/>
      <c r="N517" s="45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9"/>
      <c r="AF517" s="32"/>
      <c r="AG517" s="46"/>
      <c r="AH517" s="46"/>
      <c r="AI517" s="47"/>
      <c r="AJ517" s="47"/>
      <c r="AK517" s="46"/>
      <c r="AL517" s="9"/>
      <c r="AM517" s="32"/>
      <c r="AN517" s="42"/>
    </row>
    <row r="518" spans="1:40" x14ac:dyDescent="0.2">
      <c r="A518" s="60"/>
      <c r="B518" s="32"/>
      <c r="C518" s="32"/>
      <c r="D518" s="32"/>
      <c r="E518" s="32"/>
      <c r="F518" s="45"/>
      <c r="G518" s="45"/>
      <c r="H518" s="45"/>
      <c r="I518" s="32"/>
      <c r="J518" s="9"/>
      <c r="K518" s="9"/>
      <c r="L518" s="45"/>
      <c r="M518" s="45"/>
      <c r="N518" s="45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9"/>
      <c r="AF518" s="32"/>
      <c r="AG518" s="46"/>
      <c r="AH518" s="46"/>
      <c r="AI518" s="47"/>
      <c r="AJ518" s="47"/>
      <c r="AK518" s="46"/>
      <c r="AL518" s="9"/>
      <c r="AM518" s="32"/>
      <c r="AN518" s="42"/>
    </row>
    <row r="519" spans="1:40" x14ac:dyDescent="0.2">
      <c r="A519" s="60"/>
      <c r="B519" s="32"/>
      <c r="C519" s="32"/>
      <c r="D519" s="32"/>
      <c r="E519" s="32"/>
      <c r="F519" s="45"/>
      <c r="G519" s="45"/>
      <c r="H519" s="45"/>
      <c r="I519" s="32"/>
      <c r="J519" s="9"/>
      <c r="K519" s="9"/>
      <c r="L519" s="45"/>
      <c r="M519" s="45"/>
      <c r="N519" s="45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9"/>
      <c r="AF519" s="32"/>
      <c r="AG519" s="46"/>
      <c r="AH519" s="46"/>
      <c r="AI519" s="47"/>
      <c r="AJ519" s="47"/>
      <c r="AK519" s="46"/>
      <c r="AL519" s="9"/>
      <c r="AM519" s="32"/>
      <c r="AN519" s="42"/>
    </row>
    <row r="520" spans="1:40" x14ac:dyDescent="0.2">
      <c r="A520" s="60"/>
      <c r="B520" s="32"/>
      <c r="C520" s="32"/>
      <c r="D520" s="32"/>
      <c r="E520" s="32"/>
      <c r="F520" s="45"/>
      <c r="G520" s="45"/>
      <c r="H520" s="45"/>
      <c r="I520" s="32"/>
      <c r="J520" s="9"/>
      <c r="K520" s="9"/>
      <c r="L520" s="45"/>
      <c r="M520" s="45"/>
      <c r="N520" s="45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9"/>
      <c r="AF520" s="32"/>
      <c r="AG520" s="46"/>
      <c r="AH520" s="46"/>
      <c r="AI520" s="47"/>
      <c r="AJ520" s="47"/>
      <c r="AK520" s="46"/>
      <c r="AL520" s="9"/>
      <c r="AM520" s="32"/>
      <c r="AN520" s="42"/>
    </row>
    <row r="521" spans="1:40" x14ac:dyDescent="0.2">
      <c r="A521" s="60"/>
      <c r="B521" s="32"/>
      <c r="C521" s="32"/>
      <c r="D521" s="32"/>
      <c r="E521" s="32"/>
      <c r="F521" s="45"/>
      <c r="G521" s="45"/>
      <c r="H521" s="45"/>
      <c r="I521" s="32"/>
      <c r="J521" s="9"/>
      <c r="K521" s="9"/>
      <c r="L521" s="45"/>
      <c r="M521" s="45"/>
      <c r="N521" s="45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9"/>
      <c r="AF521" s="32"/>
      <c r="AG521" s="46"/>
      <c r="AH521" s="46"/>
      <c r="AI521" s="47"/>
      <c r="AJ521" s="47"/>
      <c r="AK521" s="46"/>
      <c r="AL521" s="9"/>
      <c r="AM521" s="32"/>
      <c r="AN521" s="42"/>
    </row>
    <row r="522" spans="1:40" x14ac:dyDescent="0.2">
      <c r="A522" s="60"/>
      <c r="B522" s="32"/>
      <c r="C522" s="32"/>
      <c r="D522" s="32"/>
      <c r="E522" s="32"/>
      <c r="F522" s="45"/>
      <c r="G522" s="45"/>
      <c r="H522" s="45"/>
      <c r="I522" s="32"/>
      <c r="J522" s="9"/>
      <c r="K522" s="9"/>
      <c r="L522" s="45"/>
      <c r="M522" s="45"/>
      <c r="N522" s="45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9"/>
      <c r="AF522" s="32"/>
      <c r="AG522" s="46"/>
      <c r="AH522" s="46"/>
      <c r="AI522" s="47"/>
      <c r="AJ522" s="47"/>
      <c r="AK522" s="46"/>
      <c r="AL522" s="9"/>
      <c r="AM522" s="32"/>
      <c r="AN522" s="42"/>
    </row>
    <row r="523" spans="1:40" x14ac:dyDescent="0.2">
      <c r="A523" s="60"/>
      <c r="B523" s="32"/>
      <c r="C523" s="32"/>
      <c r="D523" s="32"/>
      <c r="E523" s="32"/>
      <c r="F523" s="45"/>
      <c r="G523" s="45"/>
      <c r="H523" s="45"/>
      <c r="I523" s="32"/>
      <c r="J523" s="9"/>
      <c r="K523" s="9"/>
      <c r="L523" s="45"/>
      <c r="M523" s="45"/>
      <c r="N523" s="45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9"/>
      <c r="AF523" s="32"/>
      <c r="AG523" s="46"/>
      <c r="AH523" s="46"/>
      <c r="AI523" s="47"/>
      <c r="AJ523" s="47"/>
      <c r="AK523" s="46"/>
      <c r="AL523" s="9"/>
      <c r="AM523" s="32"/>
      <c r="AN523" s="42"/>
    </row>
    <row r="524" spans="1:40" x14ac:dyDescent="0.2">
      <c r="A524" s="60"/>
      <c r="B524" s="32"/>
      <c r="C524" s="32"/>
      <c r="D524" s="32"/>
      <c r="E524" s="32"/>
      <c r="F524" s="45"/>
      <c r="G524" s="45"/>
      <c r="H524" s="45"/>
      <c r="I524" s="32"/>
      <c r="J524" s="9"/>
      <c r="K524" s="9"/>
      <c r="L524" s="45"/>
      <c r="M524" s="45"/>
      <c r="N524" s="45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9"/>
      <c r="AF524" s="32"/>
      <c r="AG524" s="46"/>
      <c r="AH524" s="46"/>
      <c r="AI524" s="47"/>
      <c r="AJ524" s="47"/>
      <c r="AK524" s="46"/>
      <c r="AL524" s="9"/>
      <c r="AM524" s="32"/>
      <c r="AN524" s="42"/>
    </row>
    <row r="525" spans="1:40" x14ac:dyDescent="0.2">
      <c r="A525" s="60"/>
      <c r="B525" s="32"/>
      <c r="C525" s="32"/>
      <c r="D525" s="32"/>
      <c r="E525" s="32"/>
      <c r="F525" s="45"/>
      <c r="G525" s="45"/>
      <c r="H525" s="45"/>
      <c r="I525" s="32"/>
      <c r="J525" s="9"/>
      <c r="K525" s="9"/>
      <c r="L525" s="45"/>
      <c r="M525" s="45"/>
      <c r="N525" s="45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9"/>
      <c r="AF525" s="32"/>
      <c r="AG525" s="46"/>
      <c r="AH525" s="46"/>
      <c r="AI525" s="47"/>
      <c r="AJ525" s="47"/>
      <c r="AK525" s="46"/>
      <c r="AL525" s="9"/>
      <c r="AM525" s="32"/>
      <c r="AN525" s="42"/>
    </row>
    <row r="526" spans="1:40" x14ac:dyDescent="0.2">
      <c r="A526" s="60"/>
      <c r="B526" s="32"/>
      <c r="C526" s="32"/>
      <c r="D526" s="32"/>
      <c r="E526" s="32"/>
      <c r="F526" s="45"/>
      <c r="G526" s="45"/>
      <c r="H526" s="45"/>
      <c r="I526" s="32"/>
      <c r="J526" s="9"/>
      <c r="K526" s="9"/>
      <c r="L526" s="45"/>
      <c r="M526" s="45"/>
      <c r="N526" s="45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9"/>
      <c r="AF526" s="32"/>
      <c r="AG526" s="46"/>
      <c r="AH526" s="46"/>
      <c r="AI526" s="47"/>
      <c r="AJ526" s="47"/>
      <c r="AK526" s="46"/>
      <c r="AL526" s="9"/>
      <c r="AM526" s="32"/>
      <c r="AN526" s="42"/>
    </row>
    <row r="527" spans="1:40" x14ac:dyDescent="0.2">
      <c r="A527" s="60"/>
      <c r="B527" s="32"/>
      <c r="C527" s="32"/>
      <c r="D527" s="32"/>
      <c r="E527" s="32"/>
      <c r="F527" s="45"/>
      <c r="G527" s="45"/>
      <c r="H527" s="45"/>
      <c r="I527" s="32"/>
      <c r="J527" s="9"/>
      <c r="K527" s="9"/>
      <c r="L527" s="45"/>
      <c r="M527" s="45"/>
      <c r="N527" s="45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9"/>
      <c r="AF527" s="32"/>
      <c r="AG527" s="46"/>
      <c r="AH527" s="46"/>
      <c r="AI527" s="47"/>
      <c r="AJ527" s="47"/>
      <c r="AK527" s="46"/>
      <c r="AL527" s="9"/>
      <c r="AM527" s="32"/>
      <c r="AN527" s="42"/>
    </row>
    <row r="528" spans="1:40" x14ac:dyDescent="0.2">
      <c r="A528" s="60"/>
      <c r="B528" s="32"/>
      <c r="C528" s="32"/>
      <c r="D528" s="32"/>
      <c r="E528" s="32"/>
      <c r="F528" s="45"/>
      <c r="G528" s="45"/>
      <c r="H528" s="45"/>
      <c r="I528" s="32"/>
      <c r="J528" s="9"/>
      <c r="K528" s="9"/>
      <c r="L528" s="45"/>
      <c r="M528" s="45"/>
      <c r="N528" s="45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9"/>
      <c r="AF528" s="32"/>
      <c r="AG528" s="46"/>
      <c r="AH528" s="46"/>
      <c r="AI528" s="47"/>
      <c r="AJ528" s="47"/>
      <c r="AK528" s="46"/>
      <c r="AL528" s="9"/>
      <c r="AM528" s="32"/>
      <c r="AN528" s="42"/>
    </row>
    <row r="529" spans="1:40" x14ac:dyDescent="0.2">
      <c r="A529" s="60"/>
      <c r="B529" s="32"/>
      <c r="C529" s="32"/>
      <c r="D529" s="32"/>
      <c r="E529" s="32"/>
      <c r="F529" s="45"/>
      <c r="G529" s="45"/>
      <c r="H529" s="45"/>
      <c r="I529" s="32"/>
      <c r="J529" s="9"/>
      <c r="K529" s="9"/>
      <c r="L529" s="45"/>
      <c r="M529" s="45"/>
      <c r="N529" s="45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9"/>
      <c r="AF529" s="32"/>
      <c r="AG529" s="46"/>
      <c r="AH529" s="46"/>
      <c r="AI529" s="47"/>
      <c r="AJ529" s="47"/>
      <c r="AK529" s="46"/>
      <c r="AL529" s="9"/>
      <c r="AM529" s="32"/>
      <c r="AN529" s="42"/>
    </row>
    <row r="530" spans="1:40" x14ac:dyDescent="0.2">
      <c r="A530" s="60"/>
      <c r="B530" s="32"/>
      <c r="C530" s="32"/>
      <c r="D530" s="32"/>
      <c r="E530" s="32"/>
      <c r="F530" s="45"/>
      <c r="G530" s="45"/>
      <c r="H530" s="45"/>
      <c r="I530" s="32"/>
      <c r="J530" s="9"/>
      <c r="K530" s="9"/>
      <c r="L530" s="45"/>
      <c r="M530" s="45"/>
      <c r="N530" s="45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9"/>
      <c r="AF530" s="32"/>
      <c r="AG530" s="46"/>
      <c r="AH530" s="46"/>
      <c r="AI530" s="47"/>
      <c r="AJ530" s="47"/>
      <c r="AK530" s="46"/>
      <c r="AL530" s="9"/>
      <c r="AM530" s="32"/>
      <c r="AN530" s="42"/>
    </row>
    <row r="531" spans="1:40" x14ac:dyDescent="0.2">
      <c r="A531" s="60"/>
      <c r="B531" s="32"/>
      <c r="C531" s="32"/>
      <c r="D531" s="32"/>
      <c r="E531" s="32"/>
      <c r="F531" s="45"/>
      <c r="G531" s="45"/>
      <c r="H531" s="45"/>
      <c r="I531" s="32"/>
      <c r="J531" s="9"/>
      <c r="K531" s="9"/>
      <c r="L531" s="45"/>
      <c r="M531" s="45"/>
      <c r="N531" s="45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9"/>
      <c r="AF531" s="32"/>
      <c r="AG531" s="46"/>
      <c r="AH531" s="46"/>
      <c r="AI531" s="47"/>
      <c r="AJ531" s="47"/>
      <c r="AK531" s="46"/>
      <c r="AL531" s="9"/>
      <c r="AM531" s="32"/>
      <c r="AN531" s="42"/>
    </row>
    <row r="532" spans="1:40" x14ac:dyDescent="0.2">
      <c r="A532" s="60"/>
      <c r="B532" s="32"/>
      <c r="C532" s="32"/>
      <c r="D532" s="32"/>
      <c r="E532" s="32"/>
      <c r="F532" s="45"/>
      <c r="G532" s="45"/>
      <c r="H532" s="45"/>
      <c r="I532" s="32"/>
      <c r="J532" s="9"/>
      <c r="K532" s="9"/>
      <c r="L532" s="45"/>
      <c r="M532" s="45"/>
      <c r="N532" s="45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9"/>
      <c r="AF532" s="32"/>
      <c r="AG532" s="46"/>
      <c r="AH532" s="46"/>
      <c r="AI532" s="47"/>
      <c r="AJ532" s="47"/>
      <c r="AK532" s="46"/>
      <c r="AL532" s="9"/>
      <c r="AM532" s="32"/>
      <c r="AN532" s="42"/>
    </row>
    <row r="533" spans="1:40" x14ac:dyDescent="0.2">
      <c r="A533" s="60"/>
      <c r="B533" s="32"/>
      <c r="C533" s="32"/>
      <c r="D533" s="32"/>
      <c r="E533" s="32"/>
      <c r="F533" s="45"/>
      <c r="G533" s="45"/>
      <c r="H533" s="45"/>
      <c r="I533" s="32"/>
      <c r="J533" s="9"/>
      <c r="K533" s="9"/>
      <c r="L533" s="45"/>
      <c r="M533" s="45"/>
      <c r="N533" s="45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9"/>
      <c r="AF533" s="32"/>
      <c r="AG533" s="46"/>
      <c r="AH533" s="46"/>
      <c r="AI533" s="47"/>
      <c r="AJ533" s="47"/>
      <c r="AK533" s="46"/>
      <c r="AL533" s="9"/>
      <c r="AM533" s="32"/>
      <c r="AN533" s="42"/>
    </row>
    <row r="534" spans="1:40" x14ac:dyDescent="0.2">
      <c r="A534" s="60"/>
      <c r="B534" s="32"/>
      <c r="C534" s="32"/>
      <c r="D534" s="32"/>
      <c r="E534" s="32"/>
      <c r="F534" s="45"/>
      <c r="G534" s="45"/>
      <c r="H534" s="45"/>
      <c r="I534" s="32"/>
      <c r="J534" s="9"/>
      <c r="K534" s="9"/>
      <c r="L534" s="45"/>
      <c r="M534" s="45"/>
      <c r="N534" s="45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9"/>
      <c r="AF534" s="32"/>
      <c r="AG534" s="46"/>
      <c r="AH534" s="46"/>
      <c r="AI534" s="47"/>
      <c r="AJ534" s="47"/>
      <c r="AK534" s="46"/>
      <c r="AL534" s="9"/>
      <c r="AM534" s="32"/>
      <c r="AN534" s="42"/>
    </row>
    <row r="535" spans="1:40" x14ac:dyDescent="0.2">
      <c r="A535" s="60"/>
      <c r="B535" s="32"/>
      <c r="C535" s="32"/>
      <c r="D535" s="32"/>
      <c r="E535" s="32"/>
      <c r="F535" s="45"/>
      <c r="G535" s="45"/>
      <c r="H535" s="45"/>
      <c r="I535" s="32"/>
      <c r="J535" s="9"/>
      <c r="K535" s="9"/>
      <c r="L535" s="45"/>
      <c r="M535" s="45"/>
      <c r="N535" s="45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9"/>
      <c r="AF535" s="32"/>
      <c r="AG535" s="46"/>
      <c r="AH535" s="46"/>
      <c r="AI535" s="47"/>
      <c r="AJ535" s="47"/>
      <c r="AK535" s="46"/>
      <c r="AL535" s="9"/>
      <c r="AM535" s="32"/>
      <c r="AN535" s="42"/>
    </row>
    <row r="536" spans="1:40" x14ac:dyDescent="0.2">
      <c r="A536" s="60"/>
      <c r="B536" s="32"/>
      <c r="C536" s="32"/>
      <c r="D536" s="32"/>
      <c r="E536" s="32"/>
      <c r="F536" s="45"/>
      <c r="G536" s="45"/>
      <c r="H536" s="45"/>
      <c r="I536" s="32"/>
      <c r="J536" s="9"/>
      <c r="K536" s="9"/>
      <c r="L536" s="45"/>
      <c r="M536" s="45"/>
      <c r="N536" s="45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9"/>
      <c r="AF536" s="32"/>
      <c r="AG536" s="46"/>
      <c r="AH536" s="46"/>
      <c r="AI536" s="47"/>
      <c r="AJ536" s="47"/>
      <c r="AK536" s="46"/>
      <c r="AL536" s="9"/>
      <c r="AM536" s="32"/>
      <c r="AN536" s="42"/>
    </row>
    <row r="537" spans="1:40" x14ac:dyDescent="0.2">
      <c r="A537" s="60"/>
      <c r="B537" s="32"/>
      <c r="C537" s="32"/>
      <c r="D537" s="32"/>
      <c r="E537" s="32"/>
      <c r="F537" s="45"/>
      <c r="G537" s="45"/>
      <c r="H537" s="45"/>
      <c r="I537" s="32"/>
      <c r="J537" s="9"/>
      <c r="K537" s="9"/>
      <c r="L537" s="45"/>
      <c r="M537" s="45"/>
      <c r="N537" s="45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9"/>
      <c r="AF537" s="32"/>
      <c r="AG537" s="46"/>
      <c r="AH537" s="46"/>
      <c r="AI537" s="47"/>
      <c r="AJ537" s="47"/>
      <c r="AK537" s="46"/>
      <c r="AL537" s="9"/>
      <c r="AM537" s="32"/>
      <c r="AN537" s="42"/>
    </row>
    <row r="538" spans="1:40" x14ac:dyDescent="0.2">
      <c r="A538" s="60"/>
      <c r="B538" s="32"/>
      <c r="C538" s="32"/>
      <c r="D538" s="32"/>
      <c r="E538" s="32"/>
      <c r="F538" s="45"/>
      <c r="G538" s="45"/>
      <c r="H538" s="45"/>
      <c r="I538" s="32"/>
      <c r="J538" s="9"/>
      <c r="K538" s="9"/>
      <c r="L538" s="45"/>
      <c r="M538" s="45"/>
      <c r="N538" s="45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9"/>
      <c r="AF538" s="32"/>
      <c r="AG538" s="46"/>
      <c r="AH538" s="46"/>
      <c r="AI538" s="47"/>
      <c r="AJ538" s="47"/>
      <c r="AK538" s="46"/>
      <c r="AL538" s="9"/>
      <c r="AM538" s="32"/>
      <c r="AN538" s="42"/>
    </row>
    <row r="539" spans="1:40" x14ac:dyDescent="0.2">
      <c r="A539" s="60"/>
      <c r="B539" s="32"/>
      <c r="C539" s="32"/>
      <c r="D539" s="32"/>
      <c r="E539" s="32"/>
      <c r="F539" s="45"/>
      <c r="G539" s="45"/>
      <c r="H539" s="45"/>
      <c r="I539" s="32"/>
      <c r="J539" s="9"/>
      <c r="K539" s="9"/>
      <c r="L539" s="45"/>
      <c r="M539" s="45"/>
      <c r="N539" s="45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9"/>
      <c r="AF539" s="32"/>
      <c r="AG539" s="46"/>
      <c r="AH539" s="46"/>
      <c r="AI539" s="47"/>
      <c r="AJ539" s="47"/>
      <c r="AK539" s="46"/>
      <c r="AL539" s="9"/>
      <c r="AM539" s="32"/>
      <c r="AN539" s="42"/>
    </row>
    <row r="540" spans="1:40" x14ac:dyDescent="0.2">
      <c r="A540" s="60"/>
      <c r="B540" s="32"/>
      <c r="C540" s="32"/>
      <c r="D540" s="32"/>
      <c r="E540" s="32"/>
      <c r="F540" s="45"/>
      <c r="G540" s="45"/>
      <c r="H540" s="45"/>
      <c r="I540" s="32"/>
      <c r="J540" s="9"/>
      <c r="K540" s="9"/>
      <c r="L540" s="45"/>
      <c r="M540" s="45"/>
      <c r="N540" s="45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9"/>
      <c r="AF540" s="32"/>
      <c r="AG540" s="46"/>
      <c r="AH540" s="46"/>
      <c r="AI540" s="47"/>
      <c r="AJ540" s="47"/>
      <c r="AK540" s="46"/>
      <c r="AL540" s="9"/>
      <c r="AM540" s="32"/>
      <c r="AN540" s="42"/>
    </row>
    <row r="541" spans="1:40" x14ac:dyDescent="0.2">
      <c r="A541" s="60"/>
      <c r="B541" s="32"/>
      <c r="C541" s="32"/>
      <c r="D541" s="32"/>
      <c r="E541" s="32"/>
      <c r="F541" s="45"/>
      <c r="G541" s="45"/>
      <c r="H541" s="45"/>
      <c r="I541" s="32"/>
      <c r="J541" s="9"/>
      <c r="K541" s="9"/>
      <c r="L541" s="45"/>
      <c r="M541" s="45"/>
      <c r="N541" s="45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9"/>
      <c r="AF541" s="32"/>
      <c r="AG541" s="46"/>
      <c r="AH541" s="46"/>
      <c r="AI541" s="47"/>
      <c r="AJ541" s="47"/>
      <c r="AK541" s="46"/>
      <c r="AL541" s="9"/>
      <c r="AM541" s="32"/>
      <c r="AN541" s="42"/>
    </row>
    <row r="542" spans="1:40" x14ac:dyDescent="0.2">
      <c r="A542" s="60"/>
      <c r="B542" s="32"/>
      <c r="C542" s="32"/>
      <c r="D542" s="32"/>
      <c r="E542" s="32"/>
      <c r="F542" s="45"/>
      <c r="G542" s="45"/>
      <c r="H542" s="45"/>
      <c r="I542" s="32"/>
      <c r="J542" s="9"/>
      <c r="K542" s="9"/>
      <c r="L542" s="45"/>
      <c r="M542" s="45"/>
      <c r="N542" s="45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9"/>
      <c r="AF542" s="32"/>
      <c r="AG542" s="46"/>
      <c r="AH542" s="46"/>
      <c r="AI542" s="47"/>
      <c r="AJ542" s="47"/>
      <c r="AK542" s="46"/>
      <c r="AL542" s="9"/>
      <c r="AM542" s="32"/>
      <c r="AN542" s="42"/>
    </row>
    <row r="543" spans="1:40" x14ac:dyDescent="0.2">
      <c r="A543" s="60"/>
      <c r="B543" s="32"/>
      <c r="C543" s="32"/>
      <c r="D543" s="32"/>
      <c r="E543" s="32"/>
      <c r="F543" s="45"/>
      <c r="G543" s="45"/>
      <c r="H543" s="45"/>
      <c r="I543" s="32"/>
      <c r="J543" s="9"/>
      <c r="K543" s="9"/>
      <c r="L543" s="45"/>
      <c r="M543" s="45"/>
      <c r="N543" s="45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9"/>
      <c r="AF543" s="32"/>
      <c r="AG543" s="46"/>
      <c r="AH543" s="46"/>
      <c r="AI543" s="47"/>
      <c r="AJ543" s="47"/>
      <c r="AK543" s="46"/>
      <c r="AL543" s="9"/>
      <c r="AM543" s="32"/>
      <c r="AN543" s="42"/>
    </row>
    <row r="544" spans="1:40" x14ac:dyDescent="0.2">
      <c r="A544" s="60"/>
      <c r="B544" s="32"/>
      <c r="C544" s="32"/>
      <c r="D544" s="32"/>
      <c r="E544" s="32"/>
      <c r="F544" s="45"/>
      <c r="G544" s="45"/>
      <c r="H544" s="45"/>
      <c r="I544" s="32"/>
      <c r="J544" s="9"/>
      <c r="K544" s="9"/>
      <c r="L544" s="45"/>
      <c r="M544" s="45"/>
      <c r="N544" s="45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9"/>
      <c r="AF544" s="32"/>
      <c r="AG544" s="46"/>
      <c r="AH544" s="46"/>
      <c r="AI544" s="47"/>
      <c r="AJ544" s="47"/>
      <c r="AK544" s="46"/>
      <c r="AL544" s="9"/>
      <c r="AM544" s="32"/>
      <c r="AN544" s="42"/>
    </row>
    <row r="545" spans="1:40" x14ac:dyDescent="0.2">
      <c r="A545" s="60"/>
      <c r="B545" s="32"/>
      <c r="C545" s="32"/>
      <c r="D545" s="32"/>
      <c r="E545" s="32"/>
      <c r="F545" s="45"/>
      <c r="G545" s="45"/>
      <c r="H545" s="45"/>
      <c r="I545" s="32"/>
      <c r="J545" s="9"/>
      <c r="K545" s="9"/>
      <c r="L545" s="45"/>
      <c r="M545" s="45"/>
      <c r="N545" s="45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9"/>
      <c r="AF545" s="32"/>
      <c r="AG545" s="46"/>
      <c r="AH545" s="46"/>
      <c r="AI545" s="47"/>
      <c r="AJ545" s="47"/>
      <c r="AK545" s="46"/>
      <c r="AL545" s="9"/>
      <c r="AM545" s="32"/>
      <c r="AN545" s="42"/>
    </row>
    <row r="546" spans="1:40" x14ac:dyDescent="0.2">
      <c r="A546" s="60"/>
      <c r="B546" s="32"/>
      <c r="C546" s="32"/>
      <c r="D546" s="32"/>
      <c r="E546" s="32"/>
      <c r="F546" s="45"/>
      <c r="G546" s="45"/>
      <c r="H546" s="45"/>
      <c r="I546" s="32"/>
      <c r="J546" s="9"/>
      <c r="K546" s="9"/>
      <c r="L546" s="45"/>
      <c r="M546" s="45"/>
      <c r="N546" s="45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9"/>
      <c r="AF546" s="32"/>
      <c r="AG546" s="46"/>
      <c r="AH546" s="46"/>
      <c r="AI546" s="47"/>
      <c r="AJ546" s="47"/>
      <c r="AK546" s="46"/>
      <c r="AL546" s="9"/>
      <c r="AM546" s="32"/>
      <c r="AN546" s="42"/>
    </row>
    <row r="547" spans="1:40" x14ac:dyDescent="0.2">
      <c r="A547" s="60"/>
      <c r="B547" s="32"/>
      <c r="C547" s="32"/>
      <c r="D547" s="32"/>
      <c r="E547" s="32"/>
      <c r="F547" s="45"/>
      <c r="G547" s="45"/>
      <c r="H547" s="45"/>
      <c r="I547" s="32"/>
      <c r="J547" s="9"/>
      <c r="K547" s="9"/>
      <c r="L547" s="45"/>
      <c r="M547" s="45"/>
      <c r="N547" s="45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9"/>
      <c r="AF547" s="32"/>
      <c r="AG547" s="46"/>
      <c r="AH547" s="46"/>
      <c r="AI547" s="47"/>
      <c r="AJ547" s="47"/>
      <c r="AK547" s="46"/>
      <c r="AL547" s="9"/>
      <c r="AM547" s="32"/>
      <c r="AN547" s="42"/>
    </row>
    <row r="548" spans="1:40" x14ac:dyDescent="0.2">
      <c r="A548" s="60"/>
      <c r="B548" s="32"/>
      <c r="C548" s="32"/>
      <c r="D548" s="32"/>
      <c r="E548" s="32"/>
      <c r="F548" s="45"/>
      <c r="G548" s="45"/>
      <c r="H548" s="45"/>
      <c r="I548" s="32"/>
      <c r="J548" s="9"/>
      <c r="K548" s="9"/>
      <c r="L548" s="45"/>
      <c r="M548" s="45"/>
      <c r="N548" s="45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9"/>
      <c r="AF548" s="32"/>
      <c r="AG548" s="46"/>
      <c r="AH548" s="46"/>
      <c r="AI548" s="47"/>
      <c r="AJ548" s="47"/>
      <c r="AK548" s="46"/>
      <c r="AL548" s="9"/>
      <c r="AM548" s="32"/>
      <c r="AN548" s="42"/>
    </row>
    <row r="549" spans="1:40" x14ac:dyDescent="0.2">
      <c r="A549" s="60"/>
      <c r="B549" s="32"/>
      <c r="C549" s="32"/>
      <c r="D549" s="32"/>
      <c r="E549" s="32"/>
      <c r="F549" s="45"/>
      <c r="G549" s="45"/>
      <c r="H549" s="45"/>
      <c r="I549" s="32"/>
      <c r="J549" s="9"/>
      <c r="K549" s="9"/>
      <c r="L549" s="45"/>
      <c r="M549" s="45"/>
      <c r="N549" s="45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9"/>
      <c r="AF549" s="32"/>
      <c r="AG549" s="46"/>
      <c r="AH549" s="46"/>
      <c r="AI549" s="47"/>
      <c r="AJ549" s="47"/>
      <c r="AK549" s="46"/>
      <c r="AL549" s="9"/>
      <c r="AM549" s="32"/>
      <c r="AN549" s="42"/>
    </row>
    <row r="550" spans="1:40" x14ac:dyDescent="0.2">
      <c r="A550" s="60"/>
      <c r="B550" s="32"/>
      <c r="C550" s="32"/>
      <c r="D550" s="32"/>
      <c r="E550" s="32"/>
      <c r="F550" s="45"/>
      <c r="G550" s="45"/>
      <c r="H550" s="45"/>
      <c r="I550" s="32"/>
      <c r="J550" s="9"/>
      <c r="K550" s="9"/>
      <c r="L550" s="45"/>
      <c r="M550" s="45"/>
      <c r="N550" s="45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9"/>
      <c r="AF550" s="32"/>
      <c r="AG550" s="46"/>
      <c r="AH550" s="46"/>
      <c r="AI550" s="47"/>
      <c r="AJ550" s="47"/>
      <c r="AK550" s="46"/>
      <c r="AL550" s="9"/>
      <c r="AM550" s="32"/>
      <c r="AN550" s="42"/>
    </row>
    <row r="551" spans="1:40" x14ac:dyDescent="0.2">
      <c r="A551" s="60"/>
      <c r="B551" s="32"/>
      <c r="C551" s="32"/>
      <c r="D551" s="32"/>
      <c r="E551" s="32"/>
      <c r="F551" s="45"/>
      <c r="G551" s="45"/>
      <c r="H551" s="45"/>
      <c r="I551" s="32"/>
      <c r="J551" s="9"/>
      <c r="K551" s="9"/>
      <c r="L551" s="45"/>
      <c r="M551" s="45"/>
      <c r="N551" s="45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9"/>
      <c r="AF551" s="32"/>
      <c r="AG551" s="46"/>
      <c r="AH551" s="46"/>
      <c r="AI551" s="47"/>
      <c r="AJ551" s="47"/>
      <c r="AK551" s="46"/>
      <c r="AL551" s="9"/>
      <c r="AM551" s="32"/>
      <c r="AN551" s="42"/>
    </row>
    <row r="552" spans="1:40" x14ac:dyDescent="0.2">
      <c r="A552" s="60"/>
      <c r="B552" s="32"/>
      <c r="C552" s="32"/>
      <c r="D552" s="32"/>
      <c r="E552" s="32"/>
      <c r="F552" s="45"/>
      <c r="G552" s="45"/>
      <c r="H552" s="45"/>
      <c r="I552" s="32"/>
      <c r="J552" s="9"/>
      <c r="K552" s="9"/>
      <c r="L552" s="45"/>
      <c r="M552" s="45"/>
      <c r="N552" s="45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9"/>
      <c r="AF552" s="32"/>
      <c r="AG552" s="46"/>
      <c r="AH552" s="46"/>
      <c r="AI552" s="47"/>
      <c r="AJ552" s="47"/>
      <c r="AK552" s="46"/>
      <c r="AL552" s="9"/>
      <c r="AM552" s="32"/>
      <c r="AN552" s="42"/>
    </row>
    <row r="553" spans="1:40" x14ac:dyDescent="0.2">
      <c r="A553" s="60"/>
      <c r="B553" s="32"/>
      <c r="C553" s="32"/>
      <c r="D553" s="32"/>
      <c r="E553" s="32"/>
      <c r="F553" s="45"/>
      <c r="G553" s="45"/>
      <c r="H553" s="45"/>
      <c r="I553" s="32"/>
      <c r="J553" s="9"/>
      <c r="K553" s="9"/>
      <c r="L553" s="45"/>
      <c r="M553" s="45"/>
      <c r="N553" s="45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9"/>
      <c r="AF553" s="32"/>
      <c r="AG553" s="46"/>
      <c r="AH553" s="46"/>
      <c r="AI553" s="47"/>
      <c r="AJ553" s="47"/>
      <c r="AK553" s="46"/>
      <c r="AL553" s="9"/>
      <c r="AM553" s="32"/>
      <c r="AN553" s="42"/>
    </row>
    <row r="554" spans="1:40" x14ac:dyDescent="0.2">
      <c r="A554" s="60"/>
      <c r="B554" s="32"/>
      <c r="C554" s="32"/>
      <c r="D554" s="32"/>
      <c r="E554" s="32"/>
      <c r="F554" s="45"/>
      <c r="G554" s="45"/>
      <c r="H554" s="45"/>
      <c r="I554" s="32"/>
      <c r="J554" s="9"/>
      <c r="K554" s="9"/>
      <c r="L554" s="45"/>
      <c r="M554" s="45"/>
      <c r="N554" s="45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9"/>
      <c r="AF554" s="32"/>
      <c r="AG554" s="46"/>
      <c r="AH554" s="46"/>
      <c r="AI554" s="47"/>
      <c r="AJ554" s="47"/>
      <c r="AK554" s="46"/>
      <c r="AL554" s="9"/>
      <c r="AM554" s="32"/>
      <c r="AN554" s="42"/>
    </row>
    <row r="555" spans="1:40" x14ac:dyDescent="0.2">
      <c r="A555" s="60"/>
      <c r="B555" s="32"/>
      <c r="C555" s="32"/>
      <c r="D555" s="32"/>
      <c r="E555" s="32"/>
      <c r="F555" s="45"/>
      <c r="G555" s="45"/>
      <c r="H555" s="45"/>
      <c r="I555" s="32"/>
      <c r="J555" s="9"/>
      <c r="K555" s="9"/>
      <c r="L555" s="45"/>
      <c r="M555" s="45"/>
      <c r="N555" s="45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9"/>
      <c r="AF555" s="32"/>
      <c r="AG555" s="46"/>
      <c r="AH555" s="46"/>
      <c r="AI555" s="47"/>
      <c r="AJ555" s="47"/>
      <c r="AK555" s="46"/>
      <c r="AL555" s="9"/>
      <c r="AM555" s="32"/>
      <c r="AN555" s="42"/>
    </row>
    <row r="556" spans="1:40" x14ac:dyDescent="0.2">
      <c r="A556" s="60"/>
      <c r="B556" s="32"/>
      <c r="C556" s="32"/>
      <c r="D556" s="32"/>
      <c r="E556" s="32"/>
      <c r="F556" s="45"/>
      <c r="G556" s="45"/>
      <c r="H556" s="45"/>
      <c r="I556" s="32"/>
      <c r="J556" s="9"/>
      <c r="K556" s="9"/>
      <c r="L556" s="45"/>
      <c r="M556" s="45"/>
      <c r="N556" s="45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9"/>
      <c r="AF556" s="32"/>
      <c r="AG556" s="46"/>
      <c r="AH556" s="46"/>
      <c r="AI556" s="47"/>
      <c r="AJ556" s="47"/>
      <c r="AK556" s="46"/>
      <c r="AL556" s="9"/>
      <c r="AM556" s="32"/>
      <c r="AN556" s="42"/>
    </row>
    <row r="557" spans="1:40" x14ac:dyDescent="0.2">
      <c r="A557" s="60"/>
      <c r="B557" s="32"/>
      <c r="C557" s="32"/>
      <c r="D557" s="32"/>
      <c r="E557" s="32"/>
      <c r="F557" s="45"/>
      <c r="G557" s="45"/>
      <c r="H557" s="45"/>
      <c r="I557" s="32"/>
      <c r="J557" s="9"/>
      <c r="K557" s="9"/>
      <c r="L557" s="45"/>
      <c r="M557" s="45"/>
      <c r="N557" s="45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9"/>
      <c r="AF557" s="32"/>
      <c r="AG557" s="46"/>
      <c r="AH557" s="46"/>
      <c r="AI557" s="47"/>
      <c r="AJ557" s="47"/>
      <c r="AK557" s="46"/>
      <c r="AL557" s="9"/>
      <c r="AM557" s="32"/>
      <c r="AN557" s="42"/>
    </row>
    <row r="558" spans="1:40" x14ac:dyDescent="0.2">
      <c r="A558" s="60"/>
      <c r="B558" s="32"/>
      <c r="C558" s="32"/>
      <c r="D558" s="32"/>
      <c r="E558" s="32"/>
      <c r="F558" s="45"/>
      <c r="G558" s="45"/>
      <c r="H558" s="45"/>
      <c r="I558" s="32"/>
      <c r="J558" s="9"/>
      <c r="K558" s="9"/>
      <c r="L558" s="45"/>
      <c r="M558" s="45"/>
      <c r="N558" s="45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9"/>
      <c r="AF558" s="32"/>
      <c r="AG558" s="46"/>
      <c r="AH558" s="46"/>
      <c r="AI558" s="47"/>
      <c r="AJ558" s="47"/>
      <c r="AK558" s="46"/>
      <c r="AL558" s="9"/>
      <c r="AM558" s="32"/>
      <c r="AN558" s="42"/>
    </row>
    <row r="559" spans="1:40" x14ac:dyDescent="0.2">
      <c r="A559" s="60"/>
      <c r="B559" s="32"/>
      <c r="C559" s="32"/>
      <c r="D559" s="32"/>
      <c r="E559" s="32"/>
      <c r="F559" s="45"/>
      <c r="G559" s="45"/>
      <c r="H559" s="45"/>
      <c r="I559" s="32"/>
      <c r="J559" s="9"/>
      <c r="K559" s="9"/>
      <c r="L559" s="45"/>
      <c r="M559" s="45"/>
      <c r="N559" s="45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9"/>
      <c r="AF559" s="32"/>
      <c r="AG559" s="46"/>
      <c r="AH559" s="46"/>
      <c r="AI559" s="47"/>
      <c r="AJ559" s="47"/>
      <c r="AK559" s="46"/>
      <c r="AL559" s="9"/>
      <c r="AM559" s="32"/>
      <c r="AN559" s="42"/>
    </row>
    <row r="560" spans="1:40" x14ac:dyDescent="0.2">
      <c r="A560" s="60"/>
      <c r="B560" s="32"/>
      <c r="C560" s="32"/>
      <c r="D560" s="32"/>
      <c r="E560" s="32"/>
      <c r="F560" s="45"/>
      <c r="G560" s="45"/>
      <c r="H560" s="45"/>
      <c r="I560" s="32"/>
      <c r="J560" s="9"/>
      <c r="K560" s="9"/>
      <c r="L560" s="45"/>
      <c r="M560" s="45"/>
      <c r="N560" s="45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9"/>
      <c r="AF560" s="32"/>
      <c r="AG560" s="46"/>
      <c r="AH560" s="46"/>
      <c r="AI560" s="47"/>
      <c r="AJ560" s="47"/>
      <c r="AK560" s="46"/>
      <c r="AL560" s="9"/>
      <c r="AM560" s="32"/>
      <c r="AN560" s="42"/>
    </row>
    <row r="561" spans="1:40" x14ac:dyDescent="0.2">
      <c r="A561" s="60"/>
      <c r="B561" s="32"/>
      <c r="C561" s="32"/>
      <c r="D561" s="32"/>
      <c r="E561" s="32"/>
      <c r="F561" s="45"/>
      <c r="G561" s="45"/>
      <c r="H561" s="45"/>
      <c r="I561" s="32"/>
      <c r="J561" s="9"/>
      <c r="K561" s="9"/>
      <c r="L561" s="45"/>
      <c r="M561" s="45"/>
      <c r="N561" s="45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9"/>
      <c r="AF561" s="32"/>
      <c r="AG561" s="46"/>
      <c r="AH561" s="46"/>
      <c r="AI561" s="47"/>
      <c r="AJ561" s="47"/>
      <c r="AK561" s="46"/>
      <c r="AL561" s="9"/>
      <c r="AM561" s="32"/>
      <c r="AN561" s="42"/>
    </row>
    <row r="562" spans="1:40" x14ac:dyDescent="0.2">
      <c r="A562" s="60"/>
      <c r="B562" s="32"/>
      <c r="C562" s="32"/>
      <c r="D562" s="32"/>
      <c r="E562" s="32"/>
      <c r="F562" s="45"/>
      <c r="G562" s="45"/>
      <c r="H562" s="45"/>
      <c r="I562" s="32"/>
      <c r="J562" s="9"/>
      <c r="K562" s="9"/>
      <c r="L562" s="45"/>
      <c r="M562" s="45"/>
      <c r="N562" s="45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9"/>
      <c r="AF562" s="32"/>
      <c r="AG562" s="46"/>
      <c r="AH562" s="46"/>
      <c r="AI562" s="47"/>
      <c r="AJ562" s="47"/>
      <c r="AK562" s="46"/>
      <c r="AL562" s="9"/>
      <c r="AM562" s="32"/>
      <c r="AN562" s="42"/>
    </row>
    <row r="563" spans="1:40" x14ac:dyDescent="0.2">
      <c r="A563" s="60"/>
      <c r="B563" s="32"/>
      <c r="C563" s="32"/>
      <c r="D563" s="32"/>
      <c r="E563" s="32"/>
      <c r="F563" s="45"/>
      <c r="G563" s="45"/>
      <c r="H563" s="45"/>
      <c r="I563" s="32"/>
      <c r="J563" s="9"/>
      <c r="K563" s="9"/>
      <c r="L563" s="45"/>
      <c r="M563" s="45"/>
      <c r="N563" s="45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9"/>
      <c r="AF563" s="32"/>
      <c r="AG563" s="46"/>
      <c r="AH563" s="46"/>
      <c r="AI563" s="47"/>
      <c r="AJ563" s="47"/>
      <c r="AK563" s="46"/>
      <c r="AL563" s="9"/>
      <c r="AM563" s="32"/>
      <c r="AN563" s="42"/>
    </row>
    <row r="564" spans="1:40" x14ac:dyDescent="0.2">
      <c r="A564" s="60"/>
      <c r="B564" s="32"/>
      <c r="C564" s="32"/>
      <c r="D564" s="32"/>
      <c r="E564" s="32"/>
      <c r="F564" s="45"/>
      <c r="G564" s="45"/>
      <c r="H564" s="45"/>
      <c r="I564" s="32"/>
      <c r="J564" s="9"/>
      <c r="K564" s="9"/>
      <c r="L564" s="45"/>
      <c r="M564" s="45"/>
      <c r="N564" s="45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9"/>
      <c r="AF564" s="32"/>
      <c r="AG564" s="46"/>
      <c r="AH564" s="46"/>
      <c r="AI564" s="47"/>
      <c r="AJ564" s="47"/>
      <c r="AK564" s="46"/>
      <c r="AL564" s="9"/>
      <c r="AM564" s="32"/>
      <c r="AN564" s="42"/>
    </row>
    <row r="565" spans="1:40" x14ac:dyDescent="0.2">
      <c r="A565" s="60"/>
      <c r="B565" s="32"/>
      <c r="C565" s="32"/>
      <c r="D565" s="32"/>
      <c r="E565" s="32"/>
      <c r="F565" s="45"/>
      <c r="G565" s="45"/>
      <c r="H565" s="45"/>
      <c r="I565" s="32"/>
      <c r="J565" s="9"/>
      <c r="K565" s="9"/>
      <c r="L565" s="45"/>
      <c r="M565" s="45"/>
      <c r="N565" s="45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9"/>
      <c r="AF565" s="32"/>
      <c r="AG565" s="46"/>
      <c r="AH565" s="46"/>
      <c r="AI565" s="47"/>
      <c r="AJ565" s="47"/>
      <c r="AK565" s="46"/>
      <c r="AL565" s="9"/>
      <c r="AM565" s="32"/>
      <c r="AN565" s="42"/>
    </row>
    <row r="566" spans="1:40" x14ac:dyDescent="0.2">
      <c r="A566" s="60"/>
      <c r="B566" s="32"/>
      <c r="C566" s="32"/>
      <c r="D566" s="32"/>
      <c r="E566" s="32"/>
      <c r="F566" s="45"/>
      <c r="G566" s="45"/>
      <c r="H566" s="45"/>
      <c r="I566" s="32"/>
      <c r="J566" s="9"/>
      <c r="K566" s="9"/>
      <c r="L566" s="45"/>
      <c r="M566" s="45"/>
      <c r="N566" s="45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9"/>
      <c r="AF566" s="32"/>
      <c r="AG566" s="46"/>
      <c r="AH566" s="46"/>
      <c r="AI566" s="47"/>
      <c r="AJ566" s="47"/>
      <c r="AK566" s="46"/>
      <c r="AL566" s="9"/>
      <c r="AM566" s="32"/>
      <c r="AN566" s="42"/>
    </row>
    <row r="567" spans="1:40" x14ac:dyDescent="0.2">
      <c r="A567" s="60"/>
      <c r="B567" s="32"/>
      <c r="C567" s="32"/>
      <c r="D567" s="32"/>
      <c r="E567" s="32"/>
      <c r="F567" s="45"/>
      <c r="G567" s="45"/>
      <c r="H567" s="45"/>
      <c r="I567" s="32"/>
      <c r="J567" s="9"/>
      <c r="K567" s="9"/>
      <c r="L567" s="45"/>
      <c r="M567" s="45"/>
      <c r="N567" s="45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9"/>
      <c r="AF567" s="32"/>
      <c r="AG567" s="46"/>
      <c r="AH567" s="46"/>
      <c r="AI567" s="47"/>
      <c r="AJ567" s="47"/>
      <c r="AK567" s="46"/>
      <c r="AL567" s="9"/>
      <c r="AM567" s="32"/>
      <c r="AN567" s="42"/>
    </row>
    <row r="568" spans="1:40" x14ac:dyDescent="0.2">
      <c r="A568" s="60"/>
      <c r="B568" s="32"/>
      <c r="C568" s="32"/>
      <c r="D568" s="32"/>
      <c r="E568" s="32"/>
      <c r="F568" s="45"/>
      <c r="G568" s="45"/>
      <c r="H568" s="45"/>
      <c r="I568" s="32"/>
      <c r="J568" s="9"/>
      <c r="K568" s="9"/>
      <c r="L568" s="45"/>
      <c r="M568" s="45"/>
      <c r="N568" s="45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9"/>
      <c r="AF568" s="32"/>
      <c r="AG568" s="46"/>
      <c r="AH568" s="46"/>
      <c r="AI568" s="47"/>
      <c r="AJ568" s="47"/>
      <c r="AK568" s="46"/>
      <c r="AL568" s="9"/>
      <c r="AM568" s="32"/>
      <c r="AN568" s="42"/>
    </row>
    <row r="569" spans="1:40" x14ac:dyDescent="0.2">
      <c r="A569" s="60"/>
      <c r="B569" s="32"/>
      <c r="C569" s="32"/>
      <c r="D569" s="32"/>
      <c r="E569" s="32"/>
      <c r="F569" s="45"/>
      <c r="G569" s="45"/>
      <c r="H569" s="45"/>
      <c r="I569" s="32"/>
      <c r="J569" s="9"/>
      <c r="K569" s="9"/>
      <c r="L569" s="45"/>
      <c r="M569" s="45"/>
      <c r="N569" s="45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9"/>
      <c r="AF569" s="32"/>
      <c r="AG569" s="46"/>
      <c r="AH569" s="46"/>
      <c r="AI569" s="47"/>
      <c r="AJ569" s="47"/>
      <c r="AK569" s="46"/>
      <c r="AL569" s="9"/>
      <c r="AM569" s="32"/>
      <c r="AN569" s="42"/>
    </row>
    <row r="570" spans="1:40" x14ac:dyDescent="0.2">
      <c r="A570" s="60"/>
      <c r="B570" s="32"/>
      <c r="C570" s="32"/>
      <c r="D570" s="32"/>
      <c r="E570" s="32"/>
      <c r="F570" s="45"/>
      <c r="G570" s="45"/>
      <c r="H570" s="45"/>
      <c r="I570" s="32"/>
      <c r="J570" s="9"/>
      <c r="K570" s="9"/>
      <c r="L570" s="45"/>
      <c r="M570" s="45"/>
      <c r="N570" s="45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9"/>
      <c r="AF570" s="32"/>
      <c r="AG570" s="46"/>
      <c r="AH570" s="46"/>
      <c r="AI570" s="47"/>
      <c r="AJ570" s="47"/>
      <c r="AK570" s="46"/>
      <c r="AL570" s="9"/>
      <c r="AM570" s="32"/>
      <c r="AN570" s="42"/>
    </row>
    <row r="571" spans="1:40" x14ac:dyDescent="0.2">
      <c r="A571" s="60"/>
      <c r="B571" s="32"/>
      <c r="C571" s="32"/>
      <c r="D571" s="32"/>
      <c r="E571" s="32"/>
      <c r="F571" s="45"/>
      <c r="G571" s="45"/>
      <c r="H571" s="45"/>
      <c r="I571" s="32"/>
      <c r="J571" s="9"/>
      <c r="K571" s="9"/>
      <c r="L571" s="45"/>
      <c r="M571" s="45"/>
      <c r="N571" s="45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9"/>
      <c r="AF571" s="32"/>
      <c r="AG571" s="46"/>
      <c r="AH571" s="46"/>
      <c r="AI571" s="47"/>
      <c r="AJ571" s="47"/>
      <c r="AK571" s="46"/>
      <c r="AL571" s="9"/>
      <c r="AM571" s="32"/>
      <c r="AN571" s="42"/>
    </row>
    <row r="572" spans="1:40" x14ac:dyDescent="0.2">
      <c r="A572" s="60"/>
      <c r="B572" s="32"/>
      <c r="C572" s="32"/>
      <c r="D572" s="32"/>
      <c r="E572" s="32"/>
      <c r="F572" s="45"/>
      <c r="G572" s="45"/>
      <c r="H572" s="45"/>
      <c r="I572" s="32"/>
      <c r="J572" s="9"/>
      <c r="K572" s="9"/>
      <c r="L572" s="45"/>
      <c r="M572" s="45"/>
      <c r="N572" s="45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9"/>
      <c r="AF572" s="32"/>
      <c r="AG572" s="46"/>
      <c r="AH572" s="46"/>
      <c r="AI572" s="47"/>
      <c r="AJ572" s="47"/>
      <c r="AK572" s="46"/>
      <c r="AL572" s="9"/>
      <c r="AM572" s="32"/>
      <c r="AN572" s="42"/>
    </row>
    <row r="573" spans="1:40" x14ac:dyDescent="0.2">
      <c r="A573" s="60"/>
      <c r="B573" s="32"/>
      <c r="C573" s="32"/>
      <c r="D573" s="32"/>
      <c r="E573" s="32"/>
      <c r="F573" s="45"/>
      <c r="G573" s="45"/>
      <c r="H573" s="45"/>
      <c r="I573" s="32"/>
      <c r="J573" s="9"/>
      <c r="K573" s="9"/>
      <c r="L573" s="45"/>
      <c r="M573" s="45"/>
      <c r="N573" s="45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9"/>
      <c r="AF573" s="32"/>
      <c r="AG573" s="46"/>
      <c r="AH573" s="46"/>
      <c r="AI573" s="47"/>
      <c r="AJ573" s="47"/>
      <c r="AK573" s="46"/>
      <c r="AL573" s="9"/>
      <c r="AM573" s="32"/>
      <c r="AN573" s="42"/>
    </row>
    <row r="574" spans="1:40" x14ac:dyDescent="0.2">
      <c r="A574" s="60"/>
      <c r="B574" s="32"/>
      <c r="C574" s="32"/>
      <c r="D574" s="32"/>
      <c r="E574" s="32"/>
      <c r="F574" s="45"/>
      <c r="G574" s="45"/>
      <c r="H574" s="45"/>
      <c r="I574" s="32"/>
      <c r="J574" s="9"/>
      <c r="K574" s="9"/>
      <c r="L574" s="45"/>
      <c r="M574" s="45"/>
      <c r="N574" s="45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9"/>
      <c r="AF574" s="32"/>
      <c r="AG574" s="46"/>
      <c r="AH574" s="46"/>
      <c r="AI574" s="47"/>
      <c r="AJ574" s="47"/>
      <c r="AK574" s="46"/>
      <c r="AL574" s="9"/>
      <c r="AM574" s="32"/>
      <c r="AN574" s="42"/>
    </row>
    <row r="575" spans="1:40" x14ac:dyDescent="0.2">
      <c r="A575" s="60"/>
      <c r="B575" s="32"/>
      <c r="C575" s="32"/>
      <c r="D575" s="32"/>
      <c r="E575" s="32"/>
      <c r="F575" s="45"/>
      <c r="G575" s="45"/>
      <c r="H575" s="45"/>
      <c r="I575" s="32"/>
      <c r="J575" s="9"/>
      <c r="K575" s="9"/>
      <c r="L575" s="45"/>
      <c r="M575" s="45"/>
      <c r="N575" s="45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9"/>
      <c r="AF575" s="32"/>
      <c r="AG575" s="46"/>
      <c r="AH575" s="46"/>
      <c r="AI575" s="47"/>
      <c r="AJ575" s="47"/>
      <c r="AK575" s="46"/>
      <c r="AL575" s="9"/>
      <c r="AM575" s="32"/>
      <c r="AN575" s="42"/>
    </row>
    <row r="576" spans="1:40" x14ac:dyDescent="0.2">
      <c r="A576" s="60"/>
      <c r="B576" s="32"/>
      <c r="C576" s="32"/>
      <c r="D576" s="32"/>
      <c r="E576" s="32"/>
      <c r="F576" s="45"/>
      <c r="G576" s="45"/>
      <c r="H576" s="45"/>
      <c r="I576" s="32"/>
      <c r="J576" s="9"/>
      <c r="K576" s="9"/>
      <c r="L576" s="45"/>
      <c r="M576" s="45"/>
      <c r="N576" s="45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9"/>
      <c r="AF576" s="32"/>
      <c r="AG576" s="46"/>
      <c r="AH576" s="46"/>
      <c r="AI576" s="47"/>
      <c r="AJ576" s="47"/>
      <c r="AK576" s="46"/>
      <c r="AL576" s="9"/>
      <c r="AM576" s="32"/>
      <c r="AN576" s="42"/>
    </row>
    <row r="577" spans="1:40" x14ac:dyDescent="0.2">
      <c r="A577" s="60"/>
      <c r="B577" s="32"/>
      <c r="C577" s="32"/>
      <c r="D577" s="32"/>
      <c r="E577" s="32"/>
      <c r="F577" s="45"/>
      <c r="G577" s="45"/>
      <c r="H577" s="45"/>
      <c r="I577" s="32"/>
      <c r="J577" s="9"/>
      <c r="K577" s="9"/>
      <c r="L577" s="45"/>
      <c r="M577" s="45"/>
      <c r="N577" s="45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9"/>
      <c r="AF577" s="32"/>
      <c r="AG577" s="46"/>
      <c r="AH577" s="46"/>
      <c r="AI577" s="47"/>
      <c r="AJ577" s="47"/>
      <c r="AK577" s="46"/>
      <c r="AL577" s="9"/>
      <c r="AM577" s="32"/>
      <c r="AN577" s="42"/>
    </row>
    <row r="578" spans="1:40" x14ac:dyDescent="0.2">
      <c r="A578" s="60"/>
      <c r="B578" s="32"/>
      <c r="C578" s="32"/>
      <c r="D578" s="32"/>
      <c r="E578" s="32"/>
      <c r="F578" s="45"/>
      <c r="G578" s="45"/>
      <c r="H578" s="45"/>
      <c r="I578" s="32"/>
      <c r="J578" s="9"/>
      <c r="K578" s="9"/>
      <c r="L578" s="45"/>
      <c r="M578" s="45"/>
      <c r="N578" s="45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9"/>
      <c r="AF578" s="32"/>
      <c r="AG578" s="46"/>
      <c r="AH578" s="46"/>
      <c r="AI578" s="47"/>
      <c r="AJ578" s="47"/>
      <c r="AK578" s="46"/>
      <c r="AL578" s="9"/>
      <c r="AM578" s="32"/>
      <c r="AN578" s="42"/>
    </row>
    <row r="579" spans="1:40" x14ac:dyDescent="0.2">
      <c r="A579" s="60"/>
      <c r="B579" s="32"/>
      <c r="C579" s="32"/>
      <c r="D579" s="32"/>
      <c r="E579" s="32"/>
      <c r="F579" s="45"/>
      <c r="G579" s="45"/>
      <c r="H579" s="45"/>
      <c r="I579" s="32"/>
      <c r="J579" s="9"/>
      <c r="K579" s="9"/>
      <c r="L579" s="45"/>
      <c r="M579" s="45"/>
      <c r="N579" s="45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9"/>
      <c r="AF579" s="32"/>
      <c r="AG579" s="46"/>
      <c r="AH579" s="46"/>
      <c r="AI579" s="47"/>
      <c r="AJ579" s="47"/>
      <c r="AK579" s="46"/>
      <c r="AL579" s="9"/>
      <c r="AM579" s="32"/>
      <c r="AN579" s="42"/>
    </row>
    <row r="580" spans="1:40" x14ac:dyDescent="0.2">
      <c r="A580" s="60"/>
      <c r="B580" s="32"/>
      <c r="C580" s="32"/>
      <c r="D580" s="32"/>
      <c r="E580" s="32"/>
      <c r="F580" s="45"/>
      <c r="G580" s="45"/>
      <c r="H580" s="45"/>
      <c r="I580" s="32"/>
      <c r="J580" s="9"/>
      <c r="K580" s="9"/>
      <c r="L580" s="45"/>
      <c r="M580" s="45"/>
      <c r="N580" s="45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9"/>
      <c r="AF580" s="32"/>
      <c r="AG580" s="46"/>
      <c r="AH580" s="46"/>
      <c r="AI580" s="47"/>
      <c r="AJ580" s="47"/>
      <c r="AK580" s="46"/>
      <c r="AL580" s="9"/>
      <c r="AM580" s="32"/>
      <c r="AN580" s="42"/>
    </row>
    <row r="581" spans="1:40" x14ac:dyDescent="0.2">
      <c r="A581" s="60"/>
      <c r="B581" s="32"/>
      <c r="C581" s="32"/>
      <c r="D581" s="32"/>
      <c r="E581" s="32"/>
      <c r="F581" s="45"/>
      <c r="G581" s="45"/>
      <c r="H581" s="45"/>
      <c r="I581" s="32"/>
      <c r="J581" s="9"/>
      <c r="K581" s="9"/>
      <c r="L581" s="45"/>
      <c r="M581" s="45"/>
      <c r="N581" s="45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9"/>
      <c r="AF581" s="32"/>
      <c r="AG581" s="46"/>
      <c r="AH581" s="46"/>
      <c r="AI581" s="47"/>
      <c r="AJ581" s="47"/>
      <c r="AK581" s="46"/>
      <c r="AL581" s="9"/>
      <c r="AM581" s="32"/>
      <c r="AN581" s="42"/>
    </row>
    <row r="582" spans="1:40" x14ac:dyDescent="0.2">
      <c r="A582" s="60"/>
      <c r="B582" s="32"/>
      <c r="C582" s="32"/>
      <c r="D582" s="32"/>
      <c r="E582" s="32"/>
      <c r="F582" s="45"/>
      <c r="G582" s="45"/>
      <c r="H582" s="45"/>
      <c r="I582" s="32"/>
      <c r="J582" s="9"/>
      <c r="K582" s="9"/>
      <c r="L582" s="45"/>
      <c r="M582" s="45"/>
      <c r="N582" s="45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9"/>
      <c r="AF582" s="32"/>
      <c r="AG582" s="46"/>
      <c r="AH582" s="46"/>
      <c r="AI582" s="47"/>
      <c r="AJ582" s="47"/>
      <c r="AK582" s="46"/>
      <c r="AL582" s="9"/>
      <c r="AM582" s="32"/>
      <c r="AN582" s="42"/>
    </row>
    <row r="583" spans="1:40" x14ac:dyDescent="0.2">
      <c r="A583" s="60"/>
      <c r="B583" s="32"/>
      <c r="C583" s="32"/>
      <c r="D583" s="32"/>
      <c r="E583" s="32"/>
      <c r="F583" s="45"/>
      <c r="G583" s="45"/>
      <c r="H583" s="45"/>
      <c r="I583" s="32"/>
      <c r="J583" s="9"/>
      <c r="K583" s="9"/>
      <c r="L583" s="45"/>
      <c r="M583" s="45"/>
      <c r="N583" s="45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9"/>
      <c r="AF583" s="32"/>
      <c r="AG583" s="46"/>
      <c r="AH583" s="46"/>
      <c r="AI583" s="47"/>
      <c r="AJ583" s="47"/>
      <c r="AK583" s="46"/>
      <c r="AL583" s="9"/>
      <c r="AM583" s="32"/>
      <c r="AN583" s="42"/>
    </row>
    <row r="584" spans="1:40" x14ac:dyDescent="0.2">
      <c r="A584" s="60"/>
      <c r="B584" s="32"/>
      <c r="C584" s="32"/>
      <c r="D584" s="32"/>
      <c r="E584" s="32"/>
      <c r="F584" s="45"/>
      <c r="G584" s="45"/>
      <c r="H584" s="45"/>
      <c r="I584" s="32"/>
      <c r="J584" s="9"/>
      <c r="K584" s="9"/>
      <c r="L584" s="45"/>
      <c r="M584" s="45"/>
      <c r="N584" s="45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9"/>
      <c r="AF584" s="32"/>
      <c r="AG584" s="46"/>
      <c r="AH584" s="46"/>
      <c r="AI584" s="47"/>
      <c r="AJ584" s="47"/>
      <c r="AK584" s="46"/>
      <c r="AL584" s="9"/>
      <c r="AM584" s="32"/>
      <c r="AN584" s="42"/>
    </row>
    <row r="585" spans="1:40" x14ac:dyDescent="0.2">
      <c r="A585" s="60"/>
      <c r="B585" s="32"/>
      <c r="C585" s="32"/>
      <c r="D585" s="32"/>
      <c r="E585" s="32"/>
      <c r="F585" s="45"/>
      <c r="G585" s="45"/>
      <c r="H585" s="45"/>
      <c r="I585" s="32"/>
      <c r="J585" s="9"/>
      <c r="K585" s="9"/>
      <c r="L585" s="45"/>
      <c r="M585" s="45"/>
      <c r="N585" s="45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9"/>
      <c r="AF585" s="32"/>
      <c r="AG585" s="46"/>
      <c r="AH585" s="46"/>
      <c r="AI585" s="47"/>
      <c r="AJ585" s="47"/>
      <c r="AK585" s="46"/>
      <c r="AL585" s="9"/>
      <c r="AM585" s="32"/>
      <c r="AN585" s="42"/>
    </row>
    <row r="586" spans="1:40" x14ac:dyDescent="0.2">
      <c r="A586" s="60"/>
      <c r="B586" s="32"/>
      <c r="C586" s="32"/>
      <c r="D586" s="32"/>
      <c r="E586" s="32"/>
      <c r="F586" s="45"/>
      <c r="G586" s="45"/>
      <c r="H586" s="45"/>
      <c r="I586" s="32"/>
      <c r="J586" s="9"/>
      <c r="K586" s="9"/>
      <c r="L586" s="45"/>
      <c r="M586" s="45"/>
      <c r="N586" s="45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9"/>
      <c r="AF586" s="32"/>
      <c r="AG586" s="46"/>
      <c r="AH586" s="46"/>
      <c r="AI586" s="47"/>
      <c r="AJ586" s="47"/>
      <c r="AK586" s="46"/>
      <c r="AL586" s="9"/>
      <c r="AM586" s="32"/>
      <c r="AN586" s="42"/>
    </row>
    <row r="587" spans="1:40" x14ac:dyDescent="0.2">
      <c r="A587" s="60"/>
      <c r="B587" s="32"/>
      <c r="C587" s="32"/>
      <c r="D587" s="32"/>
      <c r="E587" s="32"/>
      <c r="F587" s="45"/>
      <c r="G587" s="45"/>
      <c r="H587" s="45"/>
      <c r="I587" s="32"/>
      <c r="J587" s="9"/>
      <c r="K587" s="9"/>
      <c r="L587" s="45"/>
      <c r="M587" s="45"/>
      <c r="N587" s="45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9"/>
      <c r="AF587" s="32"/>
      <c r="AG587" s="46"/>
      <c r="AH587" s="46"/>
      <c r="AI587" s="47"/>
      <c r="AJ587" s="47"/>
      <c r="AK587" s="46"/>
      <c r="AL587" s="9"/>
      <c r="AM587" s="32"/>
      <c r="AN587" s="42"/>
    </row>
    <row r="588" spans="1:40" x14ac:dyDescent="0.2">
      <c r="A588" s="60"/>
      <c r="B588" s="32"/>
      <c r="C588" s="32"/>
      <c r="D588" s="32"/>
      <c r="E588" s="32"/>
      <c r="F588" s="45"/>
      <c r="G588" s="45"/>
      <c r="H588" s="45"/>
      <c r="I588" s="32"/>
      <c r="J588" s="9"/>
      <c r="K588" s="9"/>
      <c r="L588" s="45"/>
      <c r="M588" s="45"/>
      <c r="N588" s="45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9"/>
      <c r="AF588" s="32"/>
      <c r="AG588" s="46"/>
      <c r="AH588" s="46"/>
      <c r="AI588" s="47"/>
      <c r="AJ588" s="47"/>
      <c r="AK588" s="46"/>
      <c r="AL588" s="9"/>
      <c r="AM588" s="32"/>
      <c r="AN588" s="42"/>
    </row>
    <row r="589" spans="1:40" x14ac:dyDescent="0.2">
      <c r="A589" s="60"/>
      <c r="B589" s="32"/>
      <c r="C589" s="32"/>
      <c r="D589" s="32"/>
      <c r="E589" s="32"/>
      <c r="F589" s="45"/>
      <c r="G589" s="45"/>
      <c r="H589" s="45"/>
      <c r="I589" s="32"/>
      <c r="J589" s="9"/>
      <c r="K589" s="9"/>
      <c r="L589" s="45"/>
      <c r="M589" s="45"/>
      <c r="N589" s="45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9"/>
      <c r="AF589" s="32"/>
      <c r="AG589" s="46"/>
      <c r="AH589" s="46"/>
      <c r="AI589" s="47"/>
      <c r="AJ589" s="47"/>
      <c r="AK589" s="46"/>
      <c r="AL589" s="9"/>
      <c r="AM589" s="32"/>
      <c r="AN589" s="42"/>
    </row>
    <row r="590" spans="1:40" x14ac:dyDescent="0.2">
      <c r="A590" s="60"/>
      <c r="B590" s="32"/>
      <c r="C590" s="32"/>
      <c r="D590" s="32"/>
      <c r="E590" s="32"/>
      <c r="F590" s="45"/>
      <c r="G590" s="45"/>
      <c r="H590" s="45"/>
      <c r="I590" s="32"/>
      <c r="J590" s="9"/>
      <c r="K590" s="9"/>
      <c r="L590" s="45"/>
      <c r="M590" s="45"/>
      <c r="N590" s="45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9"/>
      <c r="AF590" s="32"/>
      <c r="AG590" s="46"/>
      <c r="AH590" s="46"/>
      <c r="AI590" s="47"/>
      <c r="AJ590" s="47"/>
      <c r="AK590" s="46"/>
      <c r="AL590" s="9"/>
      <c r="AM590" s="32"/>
      <c r="AN590" s="42"/>
    </row>
    <row r="591" spans="1:40" x14ac:dyDescent="0.2">
      <c r="A591" s="60"/>
      <c r="B591" s="32"/>
      <c r="C591" s="32"/>
      <c r="D591" s="32"/>
      <c r="E591" s="32"/>
      <c r="F591" s="45"/>
      <c r="G591" s="45"/>
      <c r="H591" s="45"/>
      <c r="I591" s="32"/>
      <c r="J591" s="9"/>
      <c r="K591" s="9"/>
      <c r="L591" s="45"/>
      <c r="M591" s="45"/>
      <c r="N591" s="45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9"/>
      <c r="AF591" s="32"/>
      <c r="AG591" s="46"/>
      <c r="AH591" s="46"/>
      <c r="AI591" s="47"/>
      <c r="AJ591" s="47"/>
      <c r="AK591" s="46"/>
      <c r="AL591" s="9"/>
      <c r="AM591" s="32"/>
      <c r="AN591" s="42"/>
    </row>
    <row r="592" spans="1:40" x14ac:dyDescent="0.2">
      <c r="A592" s="60"/>
      <c r="B592" s="32"/>
      <c r="C592" s="32"/>
      <c r="D592" s="32"/>
      <c r="E592" s="32"/>
      <c r="F592" s="45"/>
      <c r="G592" s="45"/>
      <c r="H592" s="45"/>
      <c r="I592" s="32"/>
      <c r="J592" s="9"/>
      <c r="K592" s="9"/>
      <c r="L592" s="45"/>
      <c r="M592" s="45"/>
      <c r="N592" s="45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9"/>
      <c r="AF592" s="32"/>
      <c r="AG592" s="46"/>
      <c r="AH592" s="46"/>
      <c r="AI592" s="47"/>
      <c r="AJ592" s="47"/>
      <c r="AK592" s="46"/>
      <c r="AL592" s="9"/>
      <c r="AM592" s="32"/>
      <c r="AN592" s="42"/>
    </row>
    <row r="593" spans="1:40" x14ac:dyDescent="0.2">
      <c r="A593" s="60"/>
      <c r="B593" s="32"/>
      <c r="C593" s="32"/>
      <c r="D593" s="32"/>
      <c r="E593" s="32"/>
      <c r="F593" s="45"/>
      <c r="G593" s="45"/>
      <c r="H593" s="45"/>
      <c r="I593" s="32"/>
      <c r="J593" s="9"/>
      <c r="K593" s="9"/>
      <c r="L593" s="45"/>
      <c r="M593" s="45"/>
      <c r="N593" s="45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9"/>
      <c r="AF593" s="32"/>
      <c r="AG593" s="46"/>
      <c r="AH593" s="46"/>
      <c r="AI593" s="47"/>
      <c r="AJ593" s="47"/>
      <c r="AK593" s="46"/>
      <c r="AL593" s="9"/>
      <c r="AM593" s="32"/>
      <c r="AN593" s="42"/>
    </row>
    <row r="594" spans="1:40" x14ac:dyDescent="0.2">
      <c r="A594" s="60"/>
      <c r="B594" s="32"/>
      <c r="C594" s="32"/>
      <c r="D594" s="32"/>
      <c r="E594" s="32"/>
      <c r="F594" s="45"/>
      <c r="G594" s="45"/>
      <c r="H594" s="45"/>
      <c r="I594" s="32"/>
      <c r="J594" s="9"/>
      <c r="K594" s="9"/>
      <c r="L594" s="45"/>
      <c r="M594" s="45"/>
      <c r="N594" s="45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9"/>
      <c r="AF594" s="32"/>
      <c r="AG594" s="46"/>
      <c r="AH594" s="46"/>
      <c r="AI594" s="47"/>
      <c r="AJ594" s="47"/>
      <c r="AK594" s="46"/>
      <c r="AL594" s="9"/>
      <c r="AM594" s="32"/>
      <c r="AN594" s="42"/>
    </row>
    <row r="595" spans="1:40" x14ac:dyDescent="0.2">
      <c r="A595" s="60"/>
      <c r="B595" s="32"/>
      <c r="C595" s="32"/>
      <c r="D595" s="32"/>
      <c r="E595" s="32"/>
      <c r="F595" s="45"/>
      <c r="G595" s="45"/>
      <c r="H595" s="45"/>
      <c r="I595" s="32"/>
      <c r="J595" s="9"/>
      <c r="K595" s="9"/>
      <c r="L595" s="45"/>
      <c r="M595" s="45"/>
      <c r="N595" s="45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9"/>
      <c r="AF595" s="32"/>
      <c r="AG595" s="46"/>
      <c r="AH595" s="46"/>
      <c r="AI595" s="47"/>
      <c r="AJ595" s="47"/>
      <c r="AK595" s="46"/>
      <c r="AL595" s="9"/>
      <c r="AM595" s="32"/>
      <c r="AN595" s="42"/>
    </row>
    <row r="596" spans="1:40" x14ac:dyDescent="0.2">
      <c r="A596" s="60"/>
      <c r="B596" s="32"/>
      <c r="C596" s="32"/>
      <c r="D596" s="32"/>
      <c r="E596" s="32"/>
      <c r="F596" s="45"/>
      <c r="G596" s="45"/>
      <c r="H596" s="45"/>
      <c r="I596" s="32"/>
      <c r="J596" s="9"/>
      <c r="K596" s="9"/>
      <c r="L596" s="45"/>
      <c r="M596" s="45"/>
      <c r="N596" s="45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9"/>
      <c r="AF596" s="32"/>
      <c r="AG596" s="46"/>
      <c r="AH596" s="46"/>
      <c r="AI596" s="47"/>
      <c r="AJ596" s="47"/>
      <c r="AK596" s="46"/>
      <c r="AL596" s="9"/>
      <c r="AM596" s="32"/>
      <c r="AN596" s="42"/>
    </row>
    <row r="597" spans="1:40" x14ac:dyDescent="0.2">
      <c r="A597" s="60"/>
      <c r="B597" s="32"/>
      <c r="C597" s="32"/>
      <c r="D597" s="32"/>
      <c r="E597" s="32"/>
      <c r="F597" s="45"/>
      <c r="G597" s="45"/>
      <c r="H597" s="45"/>
      <c r="I597" s="32"/>
      <c r="J597" s="9"/>
      <c r="K597" s="9"/>
      <c r="L597" s="45"/>
      <c r="M597" s="45"/>
      <c r="N597" s="45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9"/>
      <c r="AF597" s="32"/>
      <c r="AG597" s="46"/>
      <c r="AH597" s="46"/>
      <c r="AI597" s="47"/>
      <c r="AJ597" s="47"/>
      <c r="AK597" s="46"/>
      <c r="AL597" s="9"/>
      <c r="AM597" s="32"/>
      <c r="AN597" s="42"/>
    </row>
    <row r="598" spans="1:40" x14ac:dyDescent="0.2">
      <c r="A598" s="60"/>
      <c r="B598" s="32"/>
      <c r="C598" s="32"/>
      <c r="D598" s="32"/>
      <c r="E598" s="32"/>
      <c r="F598" s="45"/>
      <c r="G598" s="45"/>
      <c r="H598" s="45"/>
      <c r="I598" s="32"/>
      <c r="J598" s="9"/>
      <c r="K598" s="9"/>
      <c r="L598" s="45"/>
      <c r="M598" s="45"/>
      <c r="N598" s="45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9"/>
      <c r="AF598" s="32"/>
      <c r="AG598" s="46"/>
      <c r="AH598" s="46"/>
      <c r="AI598" s="47"/>
      <c r="AJ598" s="47"/>
      <c r="AK598" s="46"/>
      <c r="AL598" s="9"/>
      <c r="AM598" s="32"/>
      <c r="AN598" s="42"/>
    </row>
    <row r="599" spans="1:40" x14ac:dyDescent="0.2">
      <c r="A599" s="60"/>
      <c r="B599" s="32"/>
      <c r="C599" s="32"/>
      <c r="D599" s="32"/>
      <c r="E599" s="32"/>
      <c r="F599" s="45"/>
      <c r="G599" s="45"/>
      <c r="H599" s="45"/>
      <c r="I599" s="32"/>
      <c r="J599" s="9"/>
      <c r="K599" s="9"/>
      <c r="L599" s="45"/>
      <c r="M599" s="45"/>
      <c r="N599" s="45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9"/>
      <c r="AF599" s="32"/>
      <c r="AG599" s="46"/>
      <c r="AH599" s="46"/>
      <c r="AI599" s="47"/>
      <c r="AJ599" s="47"/>
      <c r="AK599" s="46"/>
      <c r="AL599" s="9"/>
      <c r="AM599" s="32"/>
      <c r="AN599" s="42"/>
    </row>
    <row r="600" spans="1:40" x14ac:dyDescent="0.2">
      <c r="A600" s="60"/>
      <c r="B600" s="32"/>
      <c r="C600" s="32"/>
      <c r="D600" s="32"/>
      <c r="E600" s="32"/>
      <c r="F600" s="45"/>
      <c r="G600" s="45"/>
      <c r="H600" s="45"/>
      <c r="I600" s="32"/>
      <c r="J600" s="9"/>
      <c r="K600" s="9"/>
      <c r="L600" s="45"/>
      <c r="M600" s="45"/>
      <c r="N600" s="45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9"/>
      <c r="AF600" s="32"/>
      <c r="AG600" s="46"/>
      <c r="AH600" s="46"/>
      <c r="AI600" s="47"/>
      <c r="AJ600" s="47"/>
      <c r="AK600" s="46"/>
      <c r="AL600" s="9"/>
      <c r="AM600" s="32"/>
      <c r="AN600" s="42"/>
    </row>
    <row r="601" spans="1:40" x14ac:dyDescent="0.2">
      <c r="A601" s="60"/>
      <c r="B601" s="32"/>
      <c r="C601" s="32"/>
      <c r="D601" s="32"/>
      <c r="E601" s="32"/>
      <c r="F601" s="45"/>
      <c r="G601" s="45"/>
      <c r="H601" s="45"/>
      <c r="I601" s="32"/>
      <c r="J601" s="9"/>
      <c r="K601" s="9"/>
      <c r="L601" s="45"/>
      <c r="M601" s="45"/>
      <c r="N601" s="45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9"/>
      <c r="AF601" s="32"/>
      <c r="AG601" s="46"/>
      <c r="AH601" s="46"/>
      <c r="AI601" s="47"/>
      <c r="AJ601" s="47"/>
      <c r="AK601" s="46"/>
      <c r="AL601" s="9"/>
      <c r="AM601" s="32"/>
      <c r="AN601" s="42"/>
    </row>
    <row r="602" spans="1:40" x14ac:dyDescent="0.2">
      <c r="A602" s="60"/>
      <c r="B602" s="32"/>
      <c r="C602" s="32"/>
      <c r="D602" s="32"/>
      <c r="E602" s="32"/>
      <c r="F602" s="45"/>
      <c r="G602" s="45"/>
      <c r="H602" s="45"/>
      <c r="I602" s="32"/>
      <c r="J602" s="9"/>
      <c r="K602" s="9"/>
      <c r="L602" s="45"/>
      <c r="M602" s="45"/>
      <c r="N602" s="45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9"/>
      <c r="AF602" s="32"/>
      <c r="AG602" s="46"/>
      <c r="AH602" s="46"/>
      <c r="AI602" s="47"/>
      <c r="AJ602" s="47"/>
      <c r="AK602" s="46"/>
      <c r="AL602" s="9"/>
      <c r="AM602" s="32"/>
      <c r="AN602" s="42"/>
    </row>
    <row r="603" spans="1:40" x14ac:dyDescent="0.2">
      <c r="A603" s="60"/>
      <c r="B603" s="32"/>
      <c r="C603" s="32"/>
      <c r="D603" s="32"/>
      <c r="E603" s="32"/>
      <c r="F603" s="45"/>
      <c r="G603" s="45"/>
      <c r="H603" s="45"/>
      <c r="I603" s="32"/>
      <c r="J603" s="9"/>
      <c r="K603" s="9"/>
      <c r="L603" s="45"/>
      <c r="M603" s="45"/>
      <c r="N603" s="45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9"/>
      <c r="AF603" s="32"/>
      <c r="AG603" s="46"/>
      <c r="AH603" s="46"/>
      <c r="AI603" s="47"/>
      <c r="AJ603" s="47"/>
      <c r="AK603" s="46"/>
      <c r="AL603" s="9"/>
      <c r="AM603" s="32"/>
      <c r="AN603" s="42"/>
    </row>
    <row r="604" spans="1:40" x14ac:dyDescent="0.2">
      <c r="A604" s="60"/>
      <c r="B604" s="32"/>
      <c r="C604" s="32"/>
      <c r="D604" s="32"/>
      <c r="E604" s="32"/>
      <c r="F604" s="45"/>
      <c r="G604" s="45"/>
      <c r="H604" s="45"/>
      <c r="I604" s="32"/>
      <c r="J604" s="9"/>
      <c r="K604" s="9"/>
      <c r="L604" s="45"/>
      <c r="M604" s="45"/>
      <c r="N604" s="45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9"/>
      <c r="AF604" s="32"/>
      <c r="AG604" s="46"/>
      <c r="AH604" s="46"/>
      <c r="AI604" s="47"/>
      <c r="AJ604" s="47"/>
      <c r="AK604" s="46"/>
      <c r="AL604" s="9"/>
      <c r="AM604" s="32"/>
      <c r="AN604" s="42"/>
    </row>
    <row r="605" spans="1:40" x14ac:dyDescent="0.2">
      <c r="A605" s="60"/>
      <c r="B605" s="32"/>
      <c r="C605" s="32"/>
      <c r="D605" s="32"/>
      <c r="E605" s="32"/>
      <c r="F605" s="45"/>
      <c r="G605" s="45"/>
      <c r="H605" s="45"/>
      <c r="I605" s="32"/>
      <c r="J605" s="9"/>
      <c r="K605" s="9"/>
      <c r="L605" s="45"/>
      <c r="M605" s="45"/>
      <c r="N605" s="45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9"/>
      <c r="AF605" s="32"/>
      <c r="AG605" s="46"/>
      <c r="AH605" s="46"/>
      <c r="AI605" s="47"/>
      <c r="AJ605" s="47"/>
      <c r="AK605" s="46"/>
      <c r="AL605" s="9"/>
      <c r="AM605" s="32"/>
      <c r="AN605" s="42"/>
    </row>
    <row r="606" spans="1:40" x14ac:dyDescent="0.2">
      <c r="A606" s="60"/>
      <c r="B606" s="32"/>
      <c r="C606" s="32"/>
      <c r="D606" s="32"/>
      <c r="E606" s="32"/>
      <c r="F606" s="45"/>
      <c r="G606" s="45"/>
      <c r="H606" s="45"/>
      <c r="I606" s="32"/>
      <c r="J606" s="9"/>
      <c r="K606" s="9"/>
      <c r="L606" s="45"/>
      <c r="M606" s="45"/>
      <c r="N606" s="45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9"/>
      <c r="AF606" s="32"/>
      <c r="AG606" s="46"/>
      <c r="AH606" s="46"/>
      <c r="AI606" s="47"/>
      <c r="AJ606" s="47"/>
      <c r="AK606" s="46"/>
      <c r="AL606" s="9"/>
      <c r="AM606" s="32"/>
      <c r="AN606" s="42"/>
    </row>
    <row r="607" spans="1:40" x14ac:dyDescent="0.2">
      <c r="A607" s="60"/>
      <c r="B607" s="32"/>
      <c r="C607" s="32"/>
      <c r="D607" s="32"/>
      <c r="E607" s="32"/>
      <c r="F607" s="45"/>
      <c r="G607" s="45"/>
      <c r="H607" s="45"/>
      <c r="I607" s="32"/>
      <c r="J607" s="9"/>
      <c r="K607" s="9"/>
      <c r="L607" s="45"/>
      <c r="M607" s="45"/>
      <c r="N607" s="45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9"/>
      <c r="AF607" s="32"/>
      <c r="AG607" s="46"/>
      <c r="AH607" s="46"/>
      <c r="AI607" s="47"/>
      <c r="AJ607" s="47"/>
      <c r="AK607" s="46"/>
      <c r="AL607" s="9"/>
      <c r="AM607" s="32"/>
      <c r="AN607" s="42"/>
    </row>
    <row r="608" spans="1:40" x14ac:dyDescent="0.2">
      <c r="A608" s="60"/>
      <c r="B608" s="32"/>
      <c r="C608" s="32"/>
      <c r="D608" s="32"/>
      <c r="E608" s="32"/>
      <c r="F608" s="45"/>
      <c r="G608" s="45"/>
      <c r="H608" s="45"/>
      <c r="I608" s="32"/>
      <c r="J608" s="9"/>
      <c r="K608" s="9"/>
      <c r="L608" s="45"/>
      <c r="M608" s="45"/>
      <c r="N608" s="45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9"/>
      <c r="AF608" s="32"/>
      <c r="AG608" s="46"/>
      <c r="AH608" s="46"/>
      <c r="AI608" s="47"/>
      <c r="AJ608" s="47"/>
      <c r="AK608" s="46"/>
      <c r="AL608" s="9"/>
      <c r="AM608" s="32"/>
      <c r="AN608" s="42"/>
    </row>
    <row r="609" spans="1:40" x14ac:dyDescent="0.2">
      <c r="A609" s="60"/>
      <c r="B609" s="32"/>
      <c r="C609" s="32"/>
      <c r="D609" s="32"/>
      <c r="E609" s="32"/>
      <c r="F609" s="45"/>
      <c r="G609" s="45"/>
      <c r="H609" s="45"/>
      <c r="I609" s="32"/>
      <c r="J609" s="9"/>
      <c r="K609" s="9"/>
      <c r="L609" s="45"/>
      <c r="M609" s="45"/>
      <c r="N609" s="45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9"/>
      <c r="AF609" s="32"/>
      <c r="AG609" s="46"/>
      <c r="AH609" s="46"/>
      <c r="AI609" s="47"/>
      <c r="AJ609" s="47"/>
      <c r="AK609" s="46"/>
      <c r="AL609" s="9"/>
      <c r="AM609" s="32"/>
      <c r="AN609" s="42"/>
    </row>
    <row r="610" spans="1:40" x14ac:dyDescent="0.2">
      <c r="A610" s="60"/>
      <c r="B610" s="32"/>
      <c r="C610" s="32"/>
      <c r="D610" s="32"/>
      <c r="E610" s="32"/>
      <c r="F610" s="45"/>
      <c r="G610" s="45"/>
      <c r="H610" s="45"/>
      <c r="I610" s="32"/>
      <c r="J610" s="9"/>
      <c r="K610" s="9"/>
      <c r="L610" s="45"/>
      <c r="M610" s="45"/>
      <c r="N610" s="45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9"/>
      <c r="AF610" s="32"/>
      <c r="AG610" s="46"/>
      <c r="AH610" s="46"/>
      <c r="AI610" s="47"/>
      <c r="AJ610" s="47"/>
      <c r="AK610" s="46"/>
      <c r="AL610" s="9"/>
      <c r="AM610" s="32"/>
      <c r="AN610" s="42"/>
    </row>
    <row r="611" spans="1:40" x14ac:dyDescent="0.2">
      <c r="A611" s="60"/>
      <c r="B611" s="32"/>
      <c r="C611" s="32"/>
      <c r="D611" s="32"/>
      <c r="E611" s="32"/>
      <c r="F611" s="45"/>
      <c r="G611" s="45"/>
      <c r="H611" s="45"/>
      <c r="I611" s="32"/>
      <c r="J611" s="9"/>
      <c r="K611" s="9"/>
      <c r="L611" s="45"/>
      <c r="M611" s="45"/>
      <c r="N611" s="45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9"/>
      <c r="AF611" s="32"/>
      <c r="AG611" s="46"/>
      <c r="AH611" s="46"/>
      <c r="AI611" s="47"/>
      <c r="AJ611" s="47"/>
      <c r="AK611" s="46"/>
      <c r="AL611" s="9"/>
      <c r="AM611" s="32"/>
      <c r="AN611" s="42"/>
    </row>
    <row r="612" spans="1:40" x14ac:dyDescent="0.2">
      <c r="A612" s="60"/>
      <c r="B612" s="32"/>
      <c r="C612" s="32"/>
      <c r="D612" s="32"/>
      <c r="E612" s="32"/>
      <c r="F612" s="45"/>
      <c r="G612" s="45"/>
      <c r="H612" s="45"/>
      <c r="I612" s="32"/>
      <c r="J612" s="9"/>
      <c r="K612" s="9"/>
      <c r="L612" s="45"/>
      <c r="M612" s="45"/>
      <c r="N612" s="45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9"/>
      <c r="AF612" s="32"/>
      <c r="AG612" s="46"/>
      <c r="AH612" s="46"/>
      <c r="AI612" s="47"/>
      <c r="AJ612" s="47"/>
      <c r="AK612" s="46"/>
      <c r="AL612" s="9"/>
      <c r="AM612" s="32"/>
      <c r="AN612" s="42"/>
    </row>
    <row r="613" spans="1:40" x14ac:dyDescent="0.2">
      <c r="A613" s="60"/>
      <c r="B613" s="32"/>
      <c r="C613" s="32"/>
      <c r="D613" s="32"/>
      <c r="E613" s="32"/>
      <c r="F613" s="45"/>
      <c r="G613" s="45"/>
      <c r="H613" s="45"/>
      <c r="I613" s="32"/>
      <c r="J613" s="9"/>
      <c r="K613" s="9"/>
      <c r="L613" s="45"/>
      <c r="M613" s="45"/>
      <c r="N613" s="45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9"/>
      <c r="AF613" s="32"/>
      <c r="AG613" s="46"/>
      <c r="AH613" s="46"/>
      <c r="AI613" s="47"/>
      <c r="AJ613" s="47"/>
      <c r="AK613" s="46"/>
      <c r="AL613" s="9"/>
      <c r="AM613" s="32"/>
      <c r="AN613" s="42"/>
    </row>
    <row r="614" spans="1:40" x14ac:dyDescent="0.2">
      <c r="A614" s="60"/>
      <c r="B614" s="32"/>
      <c r="C614" s="32"/>
      <c r="D614" s="32"/>
      <c r="E614" s="32"/>
      <c r="F614" s="45"/>
      <c r="G614" s="45"/>
      <c r="H614" s="45"/>
      <c r="I614" s="32"/>
      <c r="J614" s="9"/>
      <c r="K614" s="9"/>
      <c r="L614" s="45"/>
      <c r="M614" s="45"/>
      <c r="N614" s="45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9"/>
      <c r="AF614" s="32"/>
      <c r="AG614" s="46"/>
      <c r="AH614" s="46"/>
      <c r="AI614" s="47"/>
      <c r="AJ614" s="47"/>
      <c r="AK614" s="46"/>
      <c r="AL614" s="9"/>
      <c r="AM614" s="32"/>
      <c r="AN614" s="42"/>
    </row>
    <row r="615" spans="1:40" x14ac:dyDescent="0.2">
      <c r="A615" s="60"/>
      <c r="B615" s="32"/>
      <c r="C615" s="32"/>
      <c r="D615" s="32"/>
      <c r="E615" s="32"/>
      <c r="F615" s="45"/>
      <c r="G615" s="45"/>
      <c r="H615" s="45"/>
      <c r="I615" s="32"/>
      <c r="J615" s="9"/>
      <c r="K615" s="9"/>
      <c r="L615" s="45"/>
      <c r="M615" s="45"/>
      <c r="N615" s="45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9"/>
      <c r="AF615" s="32"/>
      <c r="AG615" s="46"/>
      <c r="AH615" s="46"/>
      <c r="AI615" s="47"/>
      <c r="AJ615" s="47"/>
      <c r="AK615" s="46"/>
      <c r="AL615" s="9"/>
      <c r="AM615" s="32"/>
      <c r="AN615" s="42"/>
    </row>
    <row r="616" spans="1:40" x14ac:dyDescent="0.2">
      <c r="A616" s="60"/>
      <c r="B616" s="32"/>
      <c r="C616" s="32"/>
      <c r="D616" s="32"/>
      <c r="E616" s="32"/>
      <c r="F616" s="45"/>
      <c r="G616" s="45"/>
      <c r="H616" s="45"/>
      <c r="I616" s="32"/>
      <c r="J616" s="9"/>
      <c r="K616" s="9"/>
      <c r="L616" s="45"/>
      <c r="M616" s="45"/>
      <c r="N616" s="45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9"/>
      <c r="AF616" s="32"/>
      <c r="AG616" s="46"/>
      <c r="AH616" s="46"/>
      <c r="AI616" s="47"/>
      <c r="AJ616" s="47"/>
      <c r="AK616" s="46"/>
      <c r="AL616" s="9"/>
      <c r="AM616" s="32"/>
      <c r="AN616" s="42"/>
    </row>
    <row r="617" spans="1:40" x14ac:dyDescent="0.2">
      <c r="A617" s="60"/>
      <c r="B617" s="32"/>
      <c r="C617" s="32"/>
      <c r="D617" s="32"/>
      <c r="E617" s="32"/>
      <c r="F617" s="45"/>
      <c r="G617" s="45"/>
      <c r="H617" s="45"/>
      <c r="I617" s="32"/>
      <c r="J617" s="9"/>
      <c r="K617" s="9"/>
      <c r="L617" s="45"/>
      <c r="M617" s="45"/>
      <c r="N617" s="45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9"/>
      <c r="AF617" s="32"/>
      <c r="AG617" s="46"/>
      <c r="AH617" s="46"/>
      <c r="AI617" s="47"/>
      <c r="AJ617" s="47"/>
      <c r="AK617" s="46"/>
      <c r="AL617" s="9"/>
      <c r="AM617" s="32"/>
      <c r="AN617" s="42"/>
    </row>
    <row r="618" spans="1:40" x14ac:dyDescent="0.2">
      <c r="A618" s="60"/>
      <c r="B618" s="32"/>
      <c r="C618" s="32"/>
      <c r="D618" s="32"/>
      <c r="E618" s="32"/>
      <c r="F618" s="45"/>
      <c r="G618" s="45"/>
      <c r="H618" s="45"/>
      <c r="I618" s="32"/>
      <c r="J618" s="9"/>
      <c r="K618" s="9"/>
      <c r="L618" s="45"/>
      <c r="M618" s="45"/>
      <c r="N618" s="45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9"/>
      <c r="AF618" s="32"/>
      <c r="AG618" s="46"/>
      <c r="AH618" s="46"/>
      <c r="AI618" s="47"/>
      <c r="AJ618" s="47"/>
      <c r="AK618" s="46"/>
      <c r="AL618" s="9"/>
      <c r="AM618" s="32"/>
      <c r="AN618" s="42"/>
    </row>
    <row r="619" spans="1:40" x14ac:dyDescent="0.2">
      <c r="A619" s="60"/>
      <c r="B619" s="32"/>
      <c r="C619" s="32"/>
      <c r="D619" s="32"/>
      <c r="E619" s="32"/>
      <c r="F619" s="45"/>
      <c r="G619" s="45"/>
      <c r="H619" s="45"/>
      <c r="I619" s="32"/>
      <c r="J619" s="9"/>
      <c r="K619" s="9"/>
      <c r="L619" s="45"/>
      <c r="M619" s="45"/>
      <c r="N619" s="45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9"/>
      <c r="AF619" s="32"/>
      <c r="AG619" s="46"/>
      <c r="AH619" s="46"/>
      <c r="AI619" s="47"/>
      <c r="AJ619" s="47"/>
      <c r="AK619" s="46"/>
      <c r="AL619" s="9"/>
      <c r="AM619" s="32"/>
      <c r="AN619" s="42"/>
    </row>
    <row r="620" spans="1:40" x14ac:dyDescent="0.2">
      <c r="A620" s="60"/>
      <c r="B620" s="32"/>
      <c r="C620" s="32"/>
      <c r="D620" s="32"/>
      <c r="E620" s="32"/>
      <c r="F620" s="45"/>
      <c r="G620" s="45"/>
      <c r="H620" s="45"/>
      <c r="I620" s="32"/>
      <c r="J620" s="9"/>
      <c r="K620" s="9"/>
      <c r="L620" s="45"/>
      <c r="M620" s="45"/>
      <c r="N620" s="45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9"/>
      <c r="AF620" s="32"/>
      <c r="AG620" s="46"/>
      <c r="AH620" s="46"/>
      <c r="AI620" s="47"/>
      <c r="AJ620" s="47"/>
      <c r="AK620" s="46"/>
      <c r="AL620" s="9"/>
      <c r="AM620" s="32"/>
      <c r="AN620" s="42"/>
    </row>
    <row r="621" spans="1:40" x14ac:dyDescent="0.2">
      <c r="A621" s="60"/>
      <c r="B621" s="32"/>
      <c r="C621" s="32"/>
      <c r="D621" s="32"/>
      <c r="E621" s="32"/>
      <c r="F621" s="45"/>
      <c r="G621" s="45"/>
      <c r="H621" s="45"/>
      <c r="I621" s="32"/>
      <c r="J621" s="9"/>
      <c r="K621" s="9"/>
      <c r="L621" s="45"/>
      <c r="M621" s="45"/>
      <c r="N621" s="45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9"/>
      <c r="AF621" s="32"/>
      <c r="AG621" s="46"/>
      <c r="AH621" s="46"/>
      <c r="AI621" s="47"/>
      <c r="AJ621" s="47"/>
      <c r="AK621" s="46"/>
      <c r="AL621" s="9"/>
      <c r="AM621" s="32"/>
      <c r="AN621" s="42"/>
    </row>
    <row r="622" spans="1:40" x14ac:dyDescent="0.2">
      <c r="A622" s="60"/>
      <c r="B622" s="32"/>
      <c r="C622" s="32"/>
      <c r="D622" s="32"/>
      <c r="E622" s="32"/>
      <c r="F622" s="45"/>
      <c r="G622" s="45"/>
      <c r="H622" s="45"/>
      <c r="I622" s="32"/>
      <c r="J622" s="9"/>
      <c r="K622" s="9"/>
      <c r="L622" s="45"/>
      <c r="M622" s="45"/>
      <c r="N622" s="45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9"/>
      <c r="AF622" s="32"/>
      <c r="AG622" s="46"/>
      <c r="AH622" s="46"/>
      <c r="AI622" s="47"/>
      <c r="AJ622" s="47"/>
      <c r="AK622" s="46"/>
      <c r="AL622" s="9"/>
      <c r="AM622" s="32"/>
      <c r="AN622" s="42"/>
    </row>
    <row r="623" spans="1:40" x14ac:dyDescent="0.2">
      <c r="A623" s="60"/>
      <c r="B623" s="32"/>
      <c r="C623" s="32"/>
      <c r="D623" s="32"/>
      <c r="E623" s="32"/>
      <c r="F623" s="45"/>
      <c r="G623" s="45"/>
      <c r="H623" s="45"/>
      <c r="I623" s="32"/>
      <c r="J623" s="9"/>
      <c r="K623" s="9"/>
      <c r="L623" s="45"/>
      <c r="M623" s="45"/>
      <c r="N623" s="45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9"/>
      <c r="AF623" s="32"/>
      <c r="AG623" s="46"/>
      <c r="AH623" s="46"/>
      <c r="AI623" s="47"/>
      <c r="AJ623" s="47"/>
      <c r="AK623" s="46"/>
      <c r="AL623" s="9"/>
      <c r="AM623" s="32"/>
      <c r="AN623" s="42"/>
    </row>
    <row r="624" spans="1:40" x14ac:dyDescent="0.2">
      <c r="A624" s="60"/>
      <c r="B624" s="32"/>
      <c r="C624" s="32"/>
      <c r="D624" s="32"/>
      <c r="E624" s="32"/>
      <c r="F624" s="45"/>
      <c r="G624" s="45"/>
      <c r="H624" s="45"/>
      <c r="I624" s="32"/>
      <c r="J624" s="9"/>
      <c r="K624" s="9"/>
      <c r="L624" s="45"/>
      <c r="M624" s="45"/>
      <c r="N624" s="45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9"/>
      <c r="AF624" s="32"/>
      <c r="AG624" s="46"/>
      <c r="AH624" s="46"/>
      <c r="AI624" s="47"/>
      <c r="AJ624" s="47"/>
      <c r="AK624" s="46"/>
      <c r="AL624" s="9"/>
      <c r="AM624" s="32"/>
      <c r="AN624" s="42"/>
    </row>
    <row r="625" spans="1:40" x14ac:dyDescent="0.2">
      <c r="A625" s="60"/>
      <c r="B625" s="32"/>
      <c r="C625" s="32"/>
      <c r="D625" s="32"/>
      <c r="E625" s="32"/>
      <c r="F625" s="45"/>
      <c r="G625" s="45"/>
      <c r="H625" s="45"/>
      <c r="I625" s="32"/>
      <c r="J625" s="9"/>
      <c r="K625" s="9"/>
      <c r="L625" s="45"/>
      <c r="M625" s="45"/>
      <c r="N625" s="45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9"/>
      <c r="AF625" s="32"/>
      <c r="AG625" s="46"/>
      <c r="AH625" s="46"/>
      <c r="AI625" s="47"/>
      <c r="AJ625" s="47"/>
      <c r="AK625" s="46"/>
      <c r="AL625" s="9"/>
      <c r="AM625" s="32"/>
      <c r="AN625" s="42"/>
    </row>
    <row r="626" spans="1:40" x14ac:dyDescent="0.2">
      <c r="A626" s="60"/>
      <c r="B626" s="32"/>
      <c r="C626" s="32"/>
      <c r="D626" s="32"/>
      <c r="E626" s="32"/>
      <c r="F626" s="45"/>
      <c r="G626" s="45"/>
      <c r="H626" s="45"/>
      <c r="I626" s="32"/>
      <c r="J626" s="9"/>
      <c r="K626" s="9"/>
      <c r="L626" s="45"/>
      <c r="M626" s="45"/>
      <c r="N626" s="45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9"/>
      <c r="AF626" s="32"/>
      <c r="AG626" s="46"/>
      <c r="AH626" s="46"/>
      <c r="AI626" s="47"/>
      <c r="AJ626" s="47"/>
      <c r="AK626" s="46"/>
      <c r="AL626" s="9"/>
      <c r="AM626" s="32"/>
      <c r="AN626" s="42"/>
    </row>
    <row r="627" spans="1:40" x14ac:dyDescent="0.2">
      <c r="A627" s="60"/>
      <c r="B627" s="32"/>
      <c r="C627" s="32"/>
      <c r="D627" s="32"/>
      <c r="E627" s="32"/>
      <c r="F627" s="45"/>
      <c r="G627" s="45"/>
      <c r="H627" s="45"/>
      <c r="I627" s="32"/>
      <c r="J627" s="9"/>
      <c r="K627" s="9"/>
      <c r="L627" s="45"/>
      <c r="M627" s="45"/>
      <c r="N627" s="45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9"/>
      <c r="AF627" s="32"/>
      <c r="AG627" s="46"/>
      <c r="AH627" s="46"/>
      <c r="AI627" s="47"/>
      <c r="AJ627" s="47"/>
      <c r="AK627" s="46"/>
      <c r="AL627" s="9"/>
      <c r="AM627" s="32"/>
      <c r="AN627" s="42"/>
    </row>
    <row r="628" spans="1:40" x14ac:dyDescent="0.2">
      <c r="A628" s="60"/>
      <c r="B628" s="32"/>
      <c r="C628" s="32"/>
      <c r="D628" s="32"/>
      <c r="E628" s="32"/>
      <c r="F628" s="45"/>
      <c r="G628" s="45"/>
      <c r="H628" s="45"/>
      <c r="I628" s="32"/>
      <c r="J628" s="9"/>
      <c r="K628" s="9"/>
      <c r="L628" s="45"/>
      <c r="M628" s="45"/>
      <c r="N628" s="45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9"/>
      <c r="AF628" s="32"/>
      <c r="AG628" s="46"/>
      <c r="AH628" s="46"/>
      <c r="AI628" s="47"/>
      <c r="AJ628" s="47"/>
      <c r="AK628" s="46"/>
      <c r="AL628" s="9"/>
      <c r="AM628" s="32"/>
      <c r="AN628" s="42"/>
    </row>
    <row r="629" spans="1:40" x14ac:dyDescent="0.2">
      <c r="A629" s="60"/>
      <c r="B629" s="32"/>
      <c r="C629" s="32"/>
      <c r="D629" s="32"/>
      <c r="E629" s="32"/>
      <c r="F629" s="45"/>
      <c r="G629" s="45"/>
      <c r="H629" s="45"/>
      <c r="I629" s="32"/>
      <c r="J629" s="9"/>
      <c r="K629" s="9"/>
      <c r="L629" s="45"/>
      <c r="M629" s="45"/>
      <c r="N629" s="45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9"/>
      <c r="AF629" s="32"/>
      <c r="AG629" s="46"/>
      <c r="AH629" s="46"/>
      <c r="AI629" s="47"/>
      <c r="AJ629" s="47"/>
      <c r="AK629" s="46"/>
      <c r="AL629" s="9"/>
      <c r="AM629" s="32"/>
      <c r="AN629" s="42"/>
    </row>
    <row r="630" spans="1:40" x14ac:dyDescent="0.2">
      <c r="A630" s="60"/>
      <c r="B630" s="32"/>
      <c r="C630" s="32"/>
      <c r="D630" s="32"/>
      <c r="E630" s="32"/>
      <c r="F630" s="45"/>
      <c r="G630" s="45"/>
      <c r="H630" s="45"/>
      <c r="I630" s="32"/>
      <c r="J630" s="9"/>
      <c r="K630" s="9"/>
      <c r="L630" s="45"/>
      <c r="M630" s="45"/>
      <c r="N630" s="45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9"/>
      <c r="AF630" s="32"/>
      <c r="AG630" s="46"/>
      <c r="AH630" s="46"/>
      <c r="AI630" s="47"/>
      <c r="AJ630" s="47"/>
      <c r="AK630" s="46"/>
      <c r="AL630" s="9"/>
      <c r="AM630" s="32"/>
      <c r="AN630" s="42"/>
    </row>
    <row r="631" spans="1:40" x14ac:dyDescent="0.2">
      <c r="A631" s="60"/>
      <c r="B631" s="32"/>
      <c r="C631" s="32"/>
      <c r="D631" s="32"/>
      <c r="E631" s="32"/>
      <c r="F631" s="45"/>
      <c r="G631" s="45"/>
      <c r="H631" s="45"/>
      <c r="I631" s="32"/>
      <c r="J631" s="9"/>
      <c r="K631" s="9"/>
      <c r="L631" s="45"/>
      <c r="M631" s="45"/>
      <c r="N631" s="45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9"/>
      <c r="AF631" s="32"/>
      <c r="AG631" s="46"/>
      <c r="AH631" s="46"/>
      <c r="AI631" s="47"/>
      <c r="AJ631" s="47"/>
      <c r="AK631" s="46"/>
      <c r="AL631" s="9"/>
      <c r="AM631" s="32"/>
      <c r="AN631" s="42"/>
    </row>
    <row r="632" spans="1:40" x14ac:dyDescent="0.2">
      <c r="A632" s="60"/>
      <c r="B632" s="32"/>
      <c r="C632" s="32"/>
      <c r="D632" s="32"/>
      <c r="E632" s="32"/>
      <c r="F632" s="45"/>
      <c r="G632" s="45"/>
      <c r="H632" s="45"/>
      <c r="I632" s="32"/>
      <c r="J632" s="9"/>
      <c r="K632" s="9"/>
      <c r="L632" s="45"/>
      <c r="M632" s="45"/>
      <c r="N632" s="45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9"/>
      <c r="AF632" s="32"/>
      <c r="AG632" s="46"/>
      <c r="AH632" s="46"/>
      <c r="AI632" s="47"/>
      <c r="AJ632" s="47"/>
      <c r="AK632" s="46"/>
      <c r="AL632" s="9"/>
      <c r="AM632" s="32"/>
      <c r="AN632" s="42"/>
    </row>
    <row r="633" spans="1:40" x14ac:dyDescent="0.2">
      <c r="A633" s="60"/>
      <c r="B633" s="32"/>
      <c r="C633" s="32"/>
      <c r="D633" s="32"/>
      <c r="E633" s="32"/>
      <c r="F633" s="45"/>
      <c r="G633" s="45"/>
      <c r="H633" s="45"/>
      <c r="I633" s="32"/>
      <c r="J633" s="9"/>
      <c r="K633" s="9"/>
      <c r="L633" s="45"/>
      <c r="M633" s="45"/>
      <c r="N633" s="45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9"/>
      <c r="AF633" s="32"/>
      <c r="AG633" s="46"/>
      <c r="AH633" s="46"/>
      <c r="AI633" s="47"/>
      <c r="AJ633" s="47"/>
      <c r="AK633" s="46"/>
      <c r="AL633" s="9"/>
      <c r="AM633" s="32"/>
      <c r="AN633" s="42"/>
    </row>
    <row r="634" spans="1:40" x14ac:dyDescent="0.2">
      <c r="A634" s="60"/>
      <c r="B634" s="32"/>
      <c r="C634" s="32"/>
      <c r="D634" s="32"/>
      <c r="E634" s="32"/>
      <c r="F634" s="45"/>
      <c r="G634" s="45"/>
      <c r="H634" s="45"/>
      <c r="I634" s="32"/>
      <c r="J634" s="9"/>
      <c r="K634" s="9"/>
      <c r="L634" s="45"/>
      <c r="M634" s="45"/>
      <c r="N634" s="45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9"/>
      <c r="AF634" s="32"/>
      <c r="AG634" s="46"/>
      <c r="AH634" s="46"/>
      <c r="AI634" s="47"/>
      <c r="AJ634" s="47"/>
      <c r="AK634" s="46"/>
      <c r="AL634" s="9"/>
      <c r="AM634" s="32"/>
      <c r="AN634" s="42"/>
    </row>
    <row r="635" spans="1:40" x14ac:dyDescent="0.2">
      <c r="A635" s="60"/>
      <c r="B635" s="32"/>
      <c r="C635" s="32"/>
      <c r="D635" s="32"/>
      <c r="E635" s="32"/>
      <c r="F635" s="45"/>
      <c r="G635" s="45"/>
      <c r="H635" s="45"/>
      <c r="I635" s="32"/>
      <c r="J635" s="9"/>
      <c r="K635" s="9"/>
      <c r="L635" s="45"/>
      <c r="M635" s="45"/>
      <c r="N635" s="45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9"/>
      <c r="AF635" s="32"/>
      <c r="AG635" s="46"/>
      <c r="AH635" s="46"/>
      <c r="AI635" s="47"/>
      <c r="AJ635" s="47"/>
      <c r="AK635" s="46"/>
      <c r="AL635" s="9"/>
      <c r="AM635" s="32"/>
      <c r="AN635" s="42"/>
    </row>
    <row r="636" spans="1:40" x14ac:dyDescent="0.2">
      <c r="A636" s="60"/>
      <c r="B636" s="32"/>
      <c r="C636" s="32"/>
      <c r="D636" s="32"/>
      <c r="E636" s="32"/>
      <c r="F636" s="45"/>
      <c r="G636" s="45"/>
      <c r="H636" s="45"/>
      <c r="I636" s="32"/>
      <c r="J636" s="9"/>
      <c r="K636" s="9"/>
      <c r="L636" s="45"/>
      <c r="M636" s="45"/>
      <c r="N636" s="45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9"/>
      <c r="AF636" s="32"/>
      <c r="AG636" s="46"/>
      <c r="AH636" s="46"/>
      <c r="AI636" s="47"/>
      <c r="AJ636" s="47"/>
      <c r="AK636" s="46"/>
      <c r="AL636" s="9"/>
      <c r="AM636" s="32"/>
      <c r="AN636" s="42"/>
    </row>
    <row r="637" spans="1:40" x14ac:dyDescent="0.2">
      <c r="A637" s="60"/>
      <c r="B637" s="32"/>
      <c r="C637" s="32"/>
      <c r="D637" s="32"/>
      <c r="E637" s="32"/>
      <c r="F637" s="45"/>
      <c r="G637" s="45"/>
      <c r="H637" s="45"/>
      <c r="I637" s="32"/>
      <c r="J637" s="9"/>
      <c r="K637" s="9"/>
      <c r="L637" s="45"/>
      <c r="M637" s="45"/>
      <c r="N637" s="45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9"/>
      <c r="AF637" s="32"/>
      <c r="AG637" s="46"/>
      <c r="AH637" s="46"/>
      <c r="AI637" s="47"/>
      <c r="AJ637" s="47"/>
      <c r="AK637" s="46"/>
      <c r="AL637" s="9"/>
      <c r="AM637" s="32"/>
      <c r="AN637" s="42"/>
    </row>
    <row r="638" spans="1:40" x14ac:dyDescent="0.2">
      <c r="A638" s="60"/>
      <c r="B638" s="32"/>
      <c r="C638" s="32"/>
      <c r="D638" s="32"/>
      <c r="E638" s="32"/>
      <c r="F638" s="45"/>
      <c r="G638" s="45"/>
      <c r="H638" s="45"/>
      <c r="I638" s="32"/>
      <c r="J638" s="9"/>
      <c r="K638" s="9"/>
      <c r="L638" s="45"/>
      <c r="M638" s="45"/>
      <c r="N638" s="45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9"/>
      <c r="AF638" s="32"/>
      <c r="AG638" s="46"/>
      <c r="AH638" s="46"/>
      <c r="AI638" s="47"/>
      <c r="AJ638" s="47"/>
      <c r="AK638" s="46"/>
      <c r="AL638" s="9"/>
      <c r="AM638" s="32"/>
      <c r="AN638" s="42"/>
    </row>
    <row r="639" spans="1:40" x14ac:dyDescent="0.2">
      <c r="A639" s="60"/>
      <c r="B639" s="32"/>
      <c r="C639" s="32"/>
      <c r="D639" s="32"/>
      <c r="E639" s="32"/>
      <c r="F639" s="45"/>
      <c r="G639" s="45"/>
      <c r="H639" s="45"/>
      <c r="I639" s="32"/>
      <c r="J639" s="9"/>
      <c r="K639" s="9"/>
      <c r="L639" s="45"/>
      <c r="M639" s="45"/>
      <c r="N639" s="45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9"/>
      <c r="AF639" s="32"/>
      <c r="AG639" s="46"/>
      <c r="AH639" s="46"/>
      <c r="AI639" s="47"/>
      <c r="AJ639" s="47"/>
      <c r="AK639" s="46"/>
      <c r="AL639" s="9"/>
      <c r="AM639" s="32"/>
      <c r="AN639" s="42"/>
    </row>
    <row r="640" spans="1:40" x14ac:dyDescent="0.2">
      <c r="A640" s="60"/>
      <c r="B640" s="32"/>
      <c r="C640" s="32"/>
      <c r="D640" s="32"/>
      <c r="E640" s="32"/>
      <c r="F640" s="45"/>
      <c r="G640" s="45"/>
      <c r="H640" s="45"/>
      <c r="I640" s="32"/>
      <c r="J640" s="9"/>
      <c r="K640" s="9"/>
      <c r="L640" s="45"/>
      <c r="M640" s="45"/>
      <c r="N640" s="45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9"/>
      <c r="AF640" s="32"/>
      <c r="AG640" s="46"/>
      <c r="AH640" s="46"/>
      <c r="AI640" s="47"/>
      <c r="AJ640" s="47"/>
      <c r="AK640" s="46"/>
      <c r="AL640" s="9"/>
      <c r="AM640" s="32"/>
      <c r="AN640" s="42"/>
    </row>
    <row r="641" spans="1:40" x14ac:dyDescent="0.2">
      <c r="A641" s="60"/>
      <c r="B641" s="32"/>
      <c r="C641" s="32"/>
      <c r="D641" s="32"/>
      <c r="E641" s="32"/>
      <c r="F641" s="45"/>
      <c r="G641" s="45"/>
      <c r="H641" s="45"/>
      <c r="I641" s="32"/>
      <c r="J641" s="9"/>
      <c r="K641" s="9"/>
      <c r="L641" s="45"/>
      <c r="M641" s="45"/>
      <c r="N641" s="45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9"/>
      <c r="AF641" s="32"/>
      <c r="AG641" s="46"/>
      <c r="AH641" s="46"/>
      <c r="AI641" s="47"/>
      <c r="AJ641" s="47"/>
      <c r="AK641" s="46"/>
      <c r="AL641" s="9"/>
      <c r="AM641" s="32"/>
      <c r="AN641" s="42"/>
    </row>
    <row r="642" spans="1:40" x14ac:dyDescent="0.2">
      <c r="A642" s="60"/>
      <c r="B642" s="32"/>
      <c r="C642" s="32"/>
      <c r="D642" s="32"/>
      <c r="E642" s="32"/>
      <c r="F642" s="45"/>
      <c r="G642" s="45"/>
      <c r="H642" s="45"/>
      <c r="I642" s="32"/>
      <c r="J642" s="9"/>
      <c r="K642" s="9"/>
      <c r="L642" s="45"/>
      <c r="M642" s="45"/>
      <c r="N642" s="45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9"/>
      <c r="AF642" s="32"/>
      <c r="AG642" s="46"/>
      <c r="AH642" s="46"/>
      <c r="AI642" s="47"/>
      <c r="AJ642" s="47"/>
      <c r="AK642" s="46"/>
      <c r="AL642" s="9"/>
      <c r="AM642" s="32"/>
      <c r="AN642" s="42"/>
    </row>
    <row r="643" spans="1:40" x14ac:dyDescent="0.2">
      <c r="A643" s="60"/>
      <c r="B643" s="32"/>
      <c r="C643" s="32"/>
      <c r="D643" s="32"/>
      <c r="E643" s="32"/>
      <c r="F643" s="45"/>
      <c r="G643" s="45"/>
      <c r="H643" s="45"/>
      <c r="I643" s="32"/>
      <c r="J643" s="9"/>
      <c r="K643" s="9"/>
      <c r="L643" s="45"/>
      <c r="M643" s="45"/>
      <c r="N643" s="45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9"/>
      <c r="AF643" s="32"/>
      <c r="AG643" s="46"/>
      <c r="AH643" s="46"/>
      <c r="AI643" s="47"/>
      <c r="AJ643" s="47"/>
      <c r="AK643" s="46"/>
      <c r="AL643" s="9"/>
      <c r="AM643" s="32"/>
      <c r="AN643" s="42"/>
    </row>
    <row r="644" spans="1:40" x14ac:dyDescent="0.2">
      <c r="A644" s="60"/>
      <c r="B644" s="32"/>
      <c r="C644" s="32"/>
      <c r="D644" s="32"/>
      <c r="E644" s="32"/>
      <c r="F644" s="45"/>
      <c r="G644" s="45"/>
      <c r="H644" s="45"/>
      <c r="I644" s="32"/>
      <c r="J644" s="9"/>
      <c r="K644" s="9"/>
      <c r="L644" s="45"/>
      <c r="M644" s="45"/>
      <c r="N644" s="45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9"/>
      <c r="AF644" s="32"/>
      <c r="AG644" s="46"/>
      <c r="AH644" s="46"/>
      <c r="AI644" s="47"/>
      <c r="AJ644" s="47"/>
      <c r="AK644" s="46"/>
      <c r="AL644" s="9"/>
      <c r="AM644" s="32"/>
      <c r="AN644" s="42"/>
    </row>
    <row r="645" spans="1:40" x14ac:dyDescent="0.2">
      <c r="A645" s="60"/>
      <c r="B645" s="32"/>
      <c r="C645" s="32"/>
      <c r="D645" s="32"/>
      <c r="E645" s="32"/>
      <c r="F645" s="45"/>
      <c r="G645" s="45"/>
      <c r="H645" s="45"/>
      <c r="I645" s="32"/>
      <c r="J645" s="9"/>
      <c r="K645" s="9"/>
      <c r="L645" s="45"/>
      <c r="M645" s="45"/>
      <c r="N645" s="45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9"/>
      <c r="AF645" s="32"/>
      <c r="AG645" s="46"/>
      <c r="AH645" s="46"/>
      <c r="AI645" s="47"/>
      <c r="AJ645" s="47"/>
      <c r="AK645" s="46"/>
      <c r="AL645" s="9"/>
      <c r="AM645" s="32"/>
      <c r="AN645" s="42"/>
    </row>
    <row r="646" spans="1:40" x14ac:dyDescent="0.2">
      <c r="A646" s="60"/>
      <c r="B646" s="32"/>
      <c r="C646" s="32"/>
      <c r="D646" s="32"/>
      <c r="E646" s="32"/>
      <c r="F646" s="45"/>
      <c r="G646" s="45"/>
      <c r="H646" s="45"/>
      <c r="I646" s="32"/>
      <c r="J646" s="9"/>
      <c r="K646" s="9"/>
      <c r="L646" s="45"/>
      <c r="M646" s="45"/>
      <c r="N646" s="45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9"/>
      <c r="AF646" s="32"/>
      <c r="AG646" s="46"/>
      <c r="AH646" s="46"/>
      <c r="AI646" s="47"/>
      <c r="AJ646" s="47"/>
      <c r="AK646" s="46"/>
      <c r="AL646" s="9"/>
      <c r="AM646" s="32"/>
      <c r="AN646" s="42"/>
    </row>
    <row r="647" spans="1:40" x14ac:dyDescent="0.2">
      <c r="A647" s="60"/>
      <c r="B647" s="32"/>
      <c r="C647" s="32"/>
      <c r="D647" s="32"/>
      <c r="E647" s="32"/>
      <c r="F647" s="45"/>
      <c r="G647" s="45"/>
      <c r="H647" s="45"/>
      <c r="I647" s="32"/>
      <c r="J647" s="9"/>
      <c r="K647" s="9"/>
      <c r="L647" s="45"/>
      <c r="M647" s="45"/>
      <c r="N647" s="45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9"/>
      <c r="AF647" s="32"/>
      <c r="AG647" s="46"/>
      <c r="AH647" s="46"/>
      <c r="AI647" s="47"/>
      <c r="AJ647" s="47"/>
      <c r="AK647" s="46"/>
      <c r="AL647" s="9"/>
      <c r="AM647" s="32"/>
      <c r="AN647" s="42"/>
    </row>
    <row r="648" spans="1:40" x14ac:dyDescent="0.2">
      <c r="A648" s="60"/>
      <c r="B648" s="32"/>
      <c r="C648" s="32"/>
      <c r="D648" s="32"/>
      <c r="E648" s="32"/>
      <c r="F648" s="45"/>
      <c r="G648" s="45"/>
      <c r="H648" s="45"/>
      <c r="I648" s="32"/>
      <c r="J648" s="9"/>
      <c r="K648" s="9"/>
      <c r="L648" s="45"/>
      <c r="M648" s="45"/>
      <c r="N648" s="45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9"/>
      <c r="AF648" s="32"/>
      <c r="AG648" s="46"/>
      <c r="AH648" s="46"/>
      <c r="AI648" s="47"/>
      <c r="AJ648" s="47"/>
      <c r="AK648" s="46"/>
      <c r="AL648" s="9"/>
      <c r="AM648" s="32"/>
      <c r="AN648" s="42"/>
    </row>
    <row r="649" spans="1:40" x14ac:dyDescent="0.2">
      <c r="A649" s="60"/>
      <c r="B649" s="32"/>
      <c r="C649" s="32"/>
      <c r="D649" s="32"/>
      <c r="E649" s="32"/>
      <c r="F649" s="45"/>
      <c r="G649" s="45"/>
      <c r="H649" s="45"/>
      <c r="I649" s="32"/>
      <c r="J649" s="9"/>
      <c r="K649" s="9"/>
      <c r="L649" s="45"/>
      <c r="M649" s="45"/>
      <c r="N649" s="45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9"/>
      <c r="AF649" s="32"/>
      <c r="AG649" s="46"/>
      <c r="AH649" s="46"/>
      <c r="AI649" s="47"/>
      <c r="AJ649" s="47"/>
      <c r="AK649" s="46"/>
      <c r="AL649" s="9"/>
      <c r="AM649" s="32"/>
      <c r="AN649" s="42"/>
    </row>
    <row r="650" spans="1:40" x14ac:dyDescent="0.2">
      <c r="A650" s="60"/>
      <c r="B650" s="32"/>
      <c r="C650" s="32"/>
      <c r="D650" s="32"/>
      <c r="E650" s="32"/>
      <c r="F650" s="45"/>
      <c r="G650" s="45"/>
      <c r="H650" s="45"/>
      <c r="I650" s="32"/>
      <c r="J650" s="9"/>
      <c r="K650" s="9"/>
      <c r="L650" s="45"/>
      <c r="M650" s="45"/>
      <c r="N650" s="45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9"/>
      <c r="AF650" s="32"/>
      <c r="AG650" s="46"/>
      <c r="AH650" s="46"/>
      <c r="AI650" s="47"/>
      <c r="AJ650" s="47"/>
      <c r="AK650" s="46"/>
      <c r="AL650" s="9"/>
      <c r="AM650" s="32"/>
      <c r="AN650" s="42"/>
    </row>
    <row r="651" spans="1:40" x14ac:dyDescent="0.2">
      <c r="A651" s="60"/>
      <c r="B651" s="32"/>
      <c r="C651" s="32"/>
      <c r="D651" s="32"/>
      <c r="E651" s="32"/>
      <c r="F651" s="45"/>
      <c r="G651" s="45"/>
      <c r="H651" s="45"/>
      <c r="I651" s="32"/>
      <c r="J651" s="9"/>
      <c r="K651" s="9"/>
      <c r="L651" s="45"/>
      <c r="M651" s="45"/>
      <c r="N651" s="45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9"/>
      <c r="AF651" s="32"/>
      <c r="AG651" s="46"/>
      <c r="AH651" s="46"/>
      <c r="AI651" s="47"/>
      <c r="AJ651" s="47"/>
      <c r="AK651" s="46"/>
      <c r="AL651" s="9"/>
      <c r="AM651" s="32"/>
      <c r="AN651" s="42"/>
    </row>
    <row r="652" spans="1:40" x14ac:dyDescent="0.2">
      <c r="A652" s="60"/>
      <c r="B652" s="32"/>
      <c r="C652" s="32"/>
      <c r="D652" s="32"/>
      <c r="E652" s="32"/>
      <c r="F652" s="45"/>
      <c r="G652" s="45"/>
      <c r="H652" s="45"/>
      <c r="I652" s="32"/>
      <c r="J652" s="9"/>
      <c r="K652" s="9"/>
      <c r="L652" s="45"/>
      <c r="M652" s="45"/>
      <c r="N652" s="45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9"/>
      <c r="AF652" s="32"/>
      <c r="AG652" s="46"/>
      <c r="AH652" s="46"/>
      <c r="AI652" s="47"/>
      <c r="AJ652" s="47"/>
      <c r="AK652" s="46"/>
      <c r="AL652" s="9"/>
      <c r="AM652" s="32"/>
      <c r="AN652" s="42"/>
    </row>
    <row r="653" spans="1:40" x14ac:dyDescent="0.2">
      <c r="A653" s="60"/>
      <c r="B653" s="32"/>
      <c r="C653" s="32"/>
      <c r="D653" s="32"/>
      <c r="E653" s="32"/>
      <c r="F653" s="45"/>
      <c r="G653" s="45"/>
      <c r="H653" s="45"/>
      <c r="I653" s="32"/>
      <c r="J653" s="9"/>
      <c r="K653" s="9"/>
      <c r="L653" s="45"/>
      <c r="M653" s="45"/>
      <c r="N653" s="45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9"/>
      <c r="AF653" s="32"/>
      <c r="AG653" s="46"/>
      <c r="AH653" s="46"/>
      <c r="AI653" s="47"/>
      <c r="AJ653" s="47"/>
      <c r="AK653" s="46"/>
      <c r="AL653" s="9"/>
      <c r="AM653" s="32"/>
      <c r="AN653" s="42"/>
    </row>
    <row r="654" spans="1:40" x14ac:dyDescent="0.2">
      <c r="A654" s="60"/>
      <c r="B654" s="32"/>
      <c r="C654" s="32"/>
      <c r="D654" s="32"/>
      <c r="E654" s="32"/>
      <c r="F654" s="45"/>
      <c r="G654" s="45"/>
      <c r="H654" s="45"/>
      <c r="I654" s="32"/>
      <c r="J654" s="9"/>
      <c r="K654" s="9"/>
      <c r="L654" s="45"/>
      <c r="M654" s="45"/>
      <c r="N654" s="45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9"/>
      <c r="AF654" s="32"/>
      <c r="AG654" s="46"/>
      <c r="AH654" s="46"/>
      <c r="AI654" s="47"/>
      <c r="AJ654" s="47"/>
      <c r="AK654" s="46"/>
      <c r="AL654" s="9"/>
      <c r="AM654" s="32"/>
      <c r="AN654" s="42"/>
    </row>
    <row r="655" spans="1:40" x14ac:dyDescent="0.2">
      <c r="A655" s="60"/>
      <c r="B655" s="32"/>
      <c r="C655" s="32"/>
      <c r="D655" s="32"/>
      <c r="E655" s="32"/>
      <c r="F655" s="45"/>
      <c r="G655" s="45"/>
      <c r="H655" s="45"/>
      <c r="I655" s="32"/>
      <c r="J655" s="9"/>
      <c r="K655" s="9"/>
      <c r="L655" s="45"/>
      <c r="M655" s="45"/>
      <c r="N655" s="45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9"/>
      <c r="AF655" s="32"/>
      <c r="AG655" s="46"/>
      <c r="AH655" s="46"/>
      <c r="AI655" s="47"/>
      <c r="AJ655" s="47"/>
      <c r="AK655" s="46"/>
      <c r="AL655" s="9"/>
      <c r="AM655" s="32"/>
      <c r="AN655" s="42"/>
    </row>
    <row r="656" spans="1:40" x14ac:dyDescent="0.2">
      <c r="A656" s="60"/>
      <c r="B656" s="32"/>
      <c r="C656" s="32"/>
      <c r="D656" s="32"/>
      <c r="E656" s="32"/>
      <c r="F656" s="45"/>
      <c r="G656" s="45"/>
      <c r="H656" s="45"/>
      <c r="I656" s="32"/>
      <c r="J656" s="9"/>
      <c r="K656" s="9"/>
      <c r="L656" s="45"/>
      <c r="M656" s="45"/>
      <c r="N656" s="45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9"/>
      <c r="AF656" s="32"/>
      <c r="AG656" s="46"/>
      <c r="AH656" s="46"/>
      <c r="AI656" s="47"/>
      <c r="AJ656" s="47"/>
      <c r="AK656" s="46"/>
      <c r="AL656" s="9"/>
      <c r="AM656" s="32"/>
      <c r="AN656" s="42"/>
    </row>
    <row r="657" spans="1:40" x14ac:dyDescent="0.2">
      <c r="A657" s="60"/>
      <c r="B657" s="32"/>
      <c r="C657" s="32"/>
      <c r="D657" s="32"/>
      <c r="E657" s="32"/>
      <c r="F657" s="45"/>
      <c r="G657" s="45"/>
      <c r="H657" s="45"/>
      <c r="I657" s="32"/>
      <c r="J657" s="9"/>
      <c r="K657" s="9"/>
      <c r="L657" s="45"/>
      <c r="M657" s="45"/>
      <c r="N657" s="45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9"/>
      <c r="AF657" s="32"/>
      <c r="AG657" s="46"/>
      <c r="AH657" s="46"/>
      <c r="AI657" s="47"/>
      <c r="AJ657" s="47"/>
      <c r="AK657" s="46"/>
      <c r="AL657" s="9"/>
      <c r="AM657" s="32"/>
      <c r="AN657" s="42"/>
    </row>
    <row r="658" spans="1:40" x14ac:dyDescent="0.2">
      <c r="A658" s="60"/>
      <c r="B658" s="32"/>
      <c r="C658" s="32"/>
      <c r="D658" s="32"/>
      <c r="E658" s="32"/>
      <c r="F658" s="45"/>
      <c r="G658" s="45"/>
      <c r="H658" s="45"/>
      <c r="I658" s="32"/>
      <c r="J658" s="9"/>
      <c r="K658" s="9"/>
      <c r="L658" s="45"/>
      <c r="M658" s="45"/>
      <c r="N658" s="45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9"/>
      <c r="AF658" s="32"/>
      <c r="AG658" s="46"/>
      <c r="AH658" s="46"/>
      <c r="AI658" s="47"/>
      <c r="AJ658" s="47"/>
      <c r="AK658" s="46"/>
      <c r="AL658" s="9"/>
      <c r="AM658" s="32"/>
      <c r="AN658" s="42"/>
    </row>
    <row r="659" spans="1:40" x14ac:dyDescent="0.2">
      <c r="A659" s="60"/>
      <c r="B659" s="32"/>
      <c r="C659" s="32"/>
      <c r="D659" s="32"/>
      <c r="E659" s="32"/>
      <c r="F659" s="45"/>
      <c r="G659" s="45"/>
      <c r="H659" s="45"/>
      <c r="I659" s="32"/>
      <c r="J659" s="9"/>
      <c r="K659" s="9"/>
      <c r="L659" s="45"/>
      <c r="M659" s="45"/>
      <c r="N659" s="45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9"/>
      <c r="AF659" s="32"/>
      <c r="AG659" s="46"/>
      <c r="AH659" s="46"/>
      <c r="AI659" s="47"/>
      <c r="AJ659" s="47"/>
      <c r="AK659" s="46"/>
      <c r="AL659" s="9"/>
      <c r="AM659" s="32"/>
      <c r="AN659" s="42"/>
    </row>
    <row r="660" spans="1:40" x14ac:dyDescent="0.2">
      <c r="A660" s="60"/>
      <c r="B660" s="32"/>
      <c r="C660" s="32"/>
      <c r="D660" s="32"/>
      <c r="E660" s="32"/>
      <c r="F660" s="45"/>
      <c r="G660" s="45"/>
      <c r="H660" s="45"/>
      <c r="I660" s="32"/>
      <c r="J660" s="9"/>
      <c r="K660" s="9"/>
      <c r="L660" s="45"/>
      <c r="M660" s="45"/>
      <c r="N660" s="45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9"/>
      <c r="AF660" s="32"/>
      <c r="AG660" s="46"/>
      <c r="AH660" s="46"/>
      <c r="AI660" s="47"/>
      <c r="AJ660" s="47"/>
      <c r="AK660" s="46"/>
      <c r="AL660" s="9"/>
      <c r="AM660" s="32"/>
      <c r="AN660" s="42"/>
    </row>
    <row r="661" spans="1:40" x14ac:dyDescent="0.2">
      <c r="A661" s="60"/>
      <c r="B661" s="32"/>
      <c r="C661" s="32"/>
      <c r="D661" s="32"/>
      <c r="E661" s="32"/>
      <c r="F661" s="45"/>
      <c r="G661" s="45"/>
      <c r="H661" s="45"/>
      <c r="I661" s="32"/>
      <c r="J661" s="9"/>
      <c r="K661" s="9"/>
      <c r="L661" s="45"/>
      <c r="M661" s="45"/>
      <c r="N661" s="45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9"/>
      <c r="AF661" s="32"/>
      <c r="AG661" s="46"/>
      <c r="AH661" s="46"/>
      <c r="AI661" s="47"/>
      <c r="AJ661" s="47"/>
      <c r="AK661" s="46"/>
      <c r="AL661" s="9"/>
      <c r="AM661" s="32"/>
      <c r="AN661" s="42"/>
    </row>
    <row r="662" spans="1:40" x14ac:dyDescent="0.2">
      <c r="A662" s="60"/>
      <c r="B662" s="32"/>
      <c r="C662" s="32"/>
      <c r="D662" s="32"/>
      <c r="E662" s="32"/>
      <c r="F662" s="45"/>
      <c r="G662" s="45"/>
      <c r="H662" s="45"/>
      <c r="I662" s="32"/>
      <c r="J662" s="9"/>
      <c r="K662" s="9"/>
      <c r="L662" s="45"/>
      <c r="M662" s="45"/>
      <c r="N662" s="45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9"/>
      <c r="AF662" s="32"/>
      <c r="AG662" s="46"/>
      <c r="AH662" s="46"/>
      <c r="AI662" s="47"/>
      <c r="AJ662" s="47"/>
      <c r="AK662" s="46"/>
      <c r="AL662" s="9"/>
      <c r="AM662" s="32"/>
      <c r="AN662" s="42"/>
    </row>
    <row r="663" spans="1:40" x14ac:dyDescent="0.2">
      <c r="A663" s="60"/>
      <c r="B663" s="32"/>
      <c r="C663" s="32"/>
      <c r="D663" s="32"/>
      <c r="E663" s="32"/>
      <c r="F663" s="45"/>
      <c r="G663" s="45"/>
      <c r="H663" s="45"/>
      <c r="I663" s="32"/>
      <c r="J663" s="9"/>
      <c r="K663" s="9"/>
      <c r="L663" s="45"/>
      <c r="M663" s="45"/>
      <c r="N663" s="45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9"/>
      <c r="AF663" s="32"/>
      <c r="AG663" s="46"/>
      <c r="AH663" s="46"/>
      <c r="AI663" s="47"/>
      <c r="AJ663" s="47"/>
      <c r="AK663" s="46"/>
      <c r="AL663" s="9"/>
      <c r="AM663" s="32"/>
      <c r="AN663" s="42"/>
    </row>
    <row r="664" spans="1:40" x14ac:dyDescent="0.2">
      <c r="A664" s="60"/>
      <c r="B664" s="32"/>
      <c r="C664" s="32"/>
      <c r="D664" s="32"/>
      <c r="E664" s="32"/>
      <c r="F664" s="45"/>
      <c r="G664" s="45"/>
      <c r="H664" s="45"/>
      <c r="I664" s="32"/>
      <c r="J664" s="9"/>
      <c r="K664" s="9"/>
      <c r="L664" s="45"/>
      <c r="M664" s="45"/>
      <c r="N664" s="45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9"/>
      <c r="AF664" s="32"/>
      <c r="AG664" s="46"/>
      <c r="AH664" s="46"/>
      <c r="AI664" s="47"/>
      <c r="AJ664" s="47"/>
      <c r="AK664" s="46"/>
      <c r="AL664" s="9"/>
      <c r="AM664" s="32"/>
      <c r="AN664" s="42"/>
    </row>
    <row r="665" spans="1:40" x14ac:dyDescent="0.2">
      <c r="A665" s="60"/>
      <c r="B665" s="32"/>
      <c r="C665" s="32"/>
      <c r="D665" s="32"/>
      <c r="E665" s="32"/>
      <c r="F665" s="45"/>
      <c r="G665" s="45"/>
      <c r="H665" s="45"/>
      <c r="I665" s="32"/>
      <c r="J665" s="9"/>
      <c r="K665" s="9"/>
      <c r="L665" s="45"/>
      <c r="M665" s="45"/>
      <c r="N665" s="45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9"/>
      <c r="AF665" s="32"/>
      <c r="AG665" s="46"/>
      <c r="AH665" s="46"/>
      <c r="AI665" s="47"/>
      <c r="AJ665" s="47"/>
      <c r="AK665" s="46"/>
      <c r="AL665" s="9"/>
      <c r="AM665" s="32"/>
      <c r="AN665" s="42"/>
    </row>
    <row r="666" spans="1:40" x14ac:dyDescent="0.2">
      <c r="A666" s="60"/>
      <c r="B666" s="32"/>
      <c r="C666" s="32"/>
      <c r="D666" s="32"/>
      <c r="E666" s="32"/>
      <c r="F666" s="45"/>
      <c r="G666" s="45"/>
      <c r="H666" s="45"/>
      <c r="I666" s="32"/>
      <c r="J666" s="9"/>
      <c r="K666" s="9"/>
      <c r="L666" s="45"/>
      <c r="M666" s="45"/>
      <c r="N666" s="45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9"/>
      <c r="AF666" s="32"/>
      <c r="AG666" s="46"/>
      <c r="AH666" s="46"/>
      <c r="AI666" s="47"/>
      <c r="AJ666" s="47"/>
      <c r="AK666" s="46"/>
      <c r="AL666" s="9"/>
      <c r="AM666" s="32"/>
      <c r="AN666" s="42"/>
    </row>
    <row r="667" spans="1:40" x14ac:dyDescent="0.2">
      <c r="A667" s="60"/>
      <c r="B667" s="32"/>
      <c r="C667" s="32"/>
      <c r="D667" s="32"/>
      <c r="E667" s="32"/>
      <c r="F667" s="45"/>
      <c r="G667" s="45"/>
      <c r="H667" s="45"/>
      <c r="I667" s="32"/>
      <c r="J667" s="9"/>
      <c r="K667" s="9"/>
      <c r="L667" s="45"/>
      <c r="M667" s="45"/>
      <c r="N667" s="45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9"/>
      <c r="AF667" s="32"/>
      <c r="AG667" s="46"/>
      <c r="AH667" s="46"/>
      <c r="AI667" s="47"/>
      <c r="AJ667" s="47"/>
      <c r="AK667" s="46"/>
      <c r="AL667" s="9"/>
      <c r="AM667" s="32"/>
      <c r="AN667" s="42"/>
    </row>
    <row r="668" spans="1:40" x14ac:dyDescent="0.2">
      <c r="A668" s="60"/>
      <c r="B668" s="32"/>
      <c r="C668" s="32"/>
      <c r="D668" s="32"/>
      <c r="E668" s="32"/>
      <c r="F668" s="45"/>
      <c r="G668" s="45"/>
      <c r="H668" s="45"/>
      <c r="I668" s="32"/>
      <c r="J668" s="9"/>
      <c r="K668" s="9"/>
      <c r="L668" s="45"/>
      <c r="M668" s="45"/>
      <c r="N668" s="45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9"/>
      <c r="AF668" s="32"/>
      <c r="AG668" s="46"/>
      <c r="AH668" s="46"/>
      <c r="AI668" s="47"/>
      <c r="AJ668" s="47"/>
      <c r="AK668" s="46"/>
      <c r="AL668" s="9"/>
      <c r="AM668" s="32"/>
      <c r="AN668" s="42"/>
    </row>
    <row r="669" spans="1:40" x14ac:dyDescent="0.2">
      <c r="A669" s="60"/>
      <c r="B669" s="32"/>
      <c r="C669" s="32"/>
      <c r="D669" s="32"/>
      <c r="E669" s="32"/>
      <c r="F669" s="45"/>
      <c r="G669" s="45"/>
      <c r="H669" s="45"/>
      <c r="I669" s="32"/>
      <c r="J669" s="9"/>
      <c r="K669" s="9"/>
      <c r="L669" s="45"/>
      <c r="M669" s="45"/>
      <c r="N669" s="45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9"/>
      <c r="AF669" s="32"/>
      <c r="AG669" s="46"/>
      <c r="AH669" s="46"/>
      <c r="AI669" s="47"/>
      <c r="AJ669" s="47"/>
      <c r="AK669" s="46"/>
      <c r="AL669" s="9"/>
      <c r="AM669" s="32"/>
      <c r="AN669" s="42"/>
    </row>
    <row r="670" spans="1:40" x14ac:dyDescent="0.2">
      <c r="A670" s="60"/>
      <c r="B670" s="32"/>
      <c r="C670" s="32"/>
      <c r="D670" s="32"/>
      <c r="E670" s="32"/>
      <c r="F670" s="45"/>
      <c r="G670" s="45"/>
      <c r="H670" s="45"/>
      <c r="I670" s="32"/>
      <c r="J670" s="9"/>
      <c r="K670" s="9"/>
      <c r="L670" s="45"/>
      <c r="M670" s="45"/>
      <c r="N670" s="45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9"/>
      <c r="AF670" s="32"/>
      <c r="AG670" s="46"/>
      <c r="AH670" s="46"/>
      <c r="AI670" s="47"/>
      <c r="AJ670" s="47"/>
      <c r="AK670" s="46"/>
      <c r="AL670" s="9"/>
      <c r="AM670" s="32"/>
      <c r="AN670" s="42"/>
    </row>
    <row r="671" spans="1:40" x14ac:dyDescent="0.2">
      <c r="A671" s="60"/>
      <c r="B671" s="32"/>
      <c r="C671" s="32"/>
      <c r="D671" s="32"/>
      <c r="E671" s="32"/>
      <c r="F671" s="45"/>
      <c r="G671" s="45"/>
      <c r="H671" s="45"/>
      <c r="I671" s="32"/>
      <c r="J671" s="9"/>
      <c r="K671" s="9"/>
      <c r="L671" s="45"/>
      <c r="M671" s="45"/>
      <c r="N671" s="45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9"/>
      <c r="AF671" s="32"/>
      <c r="AG671" s="46"/>
      <c r="AH671" s="46"/>
      <c r="AI671" s="47"/>
      <c r="AJ671" s="47"/>
      <c r="AK671" s="46"/>
      <c r="AL671" s="9"/>
      <c r="AM671" s="32"/>
      <c r="AN671" s="42"/>
    </row>
    <row r="672" spans="1:40" x14ac:dyDescent="0.2">
      <c r="A672" s="60"/>
      <c r="B672" s="32"/>
      <c r="C672" s="32"/>
      <c r="D672" s="32"/>
      <c r="E672" s="32"/>
      <c r="F672" s="45"/>
      <c r="G672" s="45"/>
      <c r="H672" s="45"/>
      <c r="I672" s="32"/>
      <c r="J672" s="9"/>
      <c r="K672" s="9"/>
      <c r="L672" s="45"/>
      <c r="M672" s="45"/>
      <c r="N672" s="45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9"/>
      <c r="AF672" s="32"/>
      <c r="AG672" s="46"/>
      <c r="AH672" s="46"/>
      <c r="AI672" s="47"/>
      <c r="AJ672" s="47"/>
      <c r="AK672" s="46"/>
      <c r="AL672" s="9"/>
      <c r="AM672" s="32"/>
      <c r="AN672" s="42"/>
    </row>
    <row r="673" spans="1:40" x14ac:dyDescent="0.2">
      <c r="A673" s="60"/>
      <c r="B673" s="32"/>
      <c r="C673" s="32"/>
      <c r="D673" s="32"/>
      <c r="E673" s="32"/>
      <c r="F673" s="45"/>
      <c r="G673" s="45"/>
      <c r="H673" s="45"/>
      <c r="I673" s="32"/>
      <c r="J673" s="9"/>
      <c r="K673" s="9"/>
      <c r="L673" s="45"/>
      <c r="M673" s="45"/>
      <c r="N673" s="45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9"/>
      <c r="AF673" s="32"/>
      <c r="AG673" s="46"/>
      <c r="AH673" s="46"/>
      <c r="AI673" s="47"/>
      <c r="AJ673" s="47"/>
      <c r="AK673" s="46"/>
      <c r="AL673" s="9"/>
      <c r="AM673" s="32"/>
      <c r="AN673" s="42"/>
    </row>
    <row r="674" spans="1:40" x14ac:dyDescent="0.2">
      <c r="A674" s="60"/>
      <c r="B674" s="32"/>
      <c r="C674" s="32"/>
      <c r="D674" s="32"/>
      <c r="E674" s="32"/>
      <c r="F674" s="45"/>
      <c r="G674" s="45"/>
      <c r="H674" s="45"/>
      <c r="I674" s="32"/>
      <c r="J674" s="9"/>
      <c r="K674" s="9"/>
      <c r="L674" s="45"/>
      <c r="M674" s="45"/>
      <c r="N674" s="45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9"/>
      <c r="AF674" s="32"/>
      <c r="AG674" s="46"/>
      <c r="AH674" s="46"/>
      <c r="AI674" s="47"/>
      <c r="AJ674" s="47"/>
      <c r="AK674" s="46"/>
      <c r="AL674" s="9"/>
      <c r="AM674" s="32"/>
      <c r="AN674" s="42"/>
    </row>
    <row r="675" spans="1:40" x14ac:dyDescent="0.2">
      <c r="A675" s="60"/>
      <c r="B675" s="32"/>
      <c r="C675" s="32"/>
      <c r="D675" s="32"/>
      <c r="E675" s="32"/>
      <c r="F675" s="45"/>
      <c r="G675" s="45"/>
      <c r="H675" s="45"/>
      <c r="I675" s="32"/>
      <c r="J675" s="9"/>
      <c r="K675" s="9"/>
      <c r="L675" s="45"/>
      <c r="M675" s="45"/>
      <c r="N675" s="45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9"/>
      <c r="AF675" s="32"/>
      <c r="AG675" s="46"/>
      <c r="AH675" s="46"/>
      <c r="AI675" s="47"/>
      <c r="AJ675" s="47"/>
      <c r="AK675" s="46"/>
      <c r="AL675" s="9"/>
      <c r="AM675" s="32"/>
      <c r="AN675" s="42"/>
    </row>
    <row r="676" spans="1:40" x14ac:dyDescent="0.2">
      <c r="A676" s="60"/>
      <c r="B676" s="32"/>
      <c r="C676" s="32"/>
      <c r="D676" s="32"/>
      <c r="E676" s="32"/>
      <c r="F676" s="45"/>
      <c r="G676" s="45"/>
      <c r="H676" s="45"/>
      <c r="I676" s="32"/>
      <c r="J676" s="9"/>
      <c r="K676" s="9"/>
      <c r="L676" s="45"/>
      <c r="M676" s="45"/>
      <c r="N676" s="45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9"/>
      <c r="AF676" s="32"/>
      <c r="AG676" s="46"/>
      <c r="AH676" s="46"/>
      <c r="AI676" s="47"/>
      <c r="AJ676" s="47"/>
      <c r="AK676" s="46"/>
      <c r="AL676" s="9"/>
      <c r="AM676" s="32"/>
      <c r="AN676" s="42"/>
    </row>
    <row r="677" spans="1:40" x14ac:dyDescent="0.2">
      <c r="A677" s="60"/>
      <c r="B677" s="32"/>
      <c r="C677" s="32"/>
      <c r="D677" s="32"/>
      <c r="E677" s="32"/>
      <c r="F677" s="45"/>
      <c r="G677" s="45"/>
      <c r="H677" s="45"/>
      <c r="I677" s="32"/>
      <c r="J677" s="9"/>
      <c r="K677" s="9"/>
      <c r="L677" s="45"/>
      <c r="M677" s="45"/>
      <c r="N677" s="45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9"/>
      <c r="AF677" s="32"/>
      <c r="AG677" s="46"/>
      <c r="AH677" s="46"/>
      <c r="AI677" s="47"/>
      <c r="AJ677" s="47"/>
      <c r="AK677" s="46"/>
      <c r="AL677" s="9"/>
      <c r="AM677" s="32"/>
      <c r="AN677" s="42"/>
    </row>
    <row r="678" spans="1:40" x14ac:dyDescent="0.2">
      <c r="A678" s="60"/>
      <c r="B678" s="32"/>
      <c r="C678" s="32"/>
      <c r="D678" s="32"/>
      <c r="E678" s="32"/>
      <c r="F678" s="45"/>
      <c r="G678" s="45"/>
      <c r="H678" s="45"/>
      <c r="I678" s="32"/>
      <c r="J678" s="9"/>
      <c r="K678" s="9"/>
      <c r="L678" s="45"/>
      <c r="M678" s="45"/>
      <c r="N678" s="45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9"/>
      <c r="AF678" s="32"/>
      <c r="AG678" s="46"/>
      <c r="AH678" s="46"/>
      <c r="AI678" s="47"/>
      <c r="AJ678" s="47"/>
      <c r="AK678" s="46"/>
      <c r="AL678" s="9"/>
      <c r="AM678" s="32"/>
      <c r="AN678" s="42"/>
    </row>
    <row r="679" spans="1:40" x14ac:dyDescent="0.2">
      <c r="A679" s="60"/>
      <c r="B679" s="32"/>
      <c r="C679" s="32"/>
      <c r="D679" s="32"/>
      <c r="E679" s="32"/>
      <c r="F679" s="45"/>
      <c r="G679" s="45"/>
      <c r="H679" s="45"/>
      <c r="I679" s="32"/>
      <c r="J679" s="9"/>
      <c r="K679" s="9"/>
      <c r="L679" s="45"/>
      <c r="M679" s="45"/>
      <c r="N679" s="45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9"/>
      <c r="AF679" s="32"/>
      <c r="AG679" s="46"/>
      <c r="AH679" s="46"/>
      <c r="AI679" s="47"/>
      <c r="AJ679" s="47"/>
      <c r="AK679" s="46"/>
      <c r="AL679" s="9"/>
      <c r="AM679" s="32"/>
      <c r="AN679" s="42"/>
    </row>
    <row r="680" spans="1:40" x14ac:dyDescent="0.2">
      <c r="A680" s="60"/>
      <c r="B680" s="32"/>
      <c r="C680" s="32"/>
      <c r="D680" s="32"/>
      <c r="E680" s="32"/>
      <c r="F680" s="45"/>
      <c r="G680" s="45"/>
      <c r="H680" s="45"/>
      <c r="I680" s="32"/>
      <c r="J680" s="9"/>
      <c r="K680" s="9"/>
      <c r="L680" s="45"/>
      <c r="M680" s="45"/>
      <c r="N680" s="45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9"/>
      <c r="AF680" s="32"/>
      <c r="AG680" s="46"/>
      <c r="AH680" s="46"/>
      <c r="AI680" s="47"/>
      <c r="AJ680" s="47"/>
      <c r="AK680" s="46"/>
      <c r="AL680" s="9"/>
      <c r="AM680" s="32"/>
      <c r="AN680" s="42"/>
    </row>
    <row r="681" spans="1:40" x14ac:dyDescent="0.2">
      <c r="A681" s="60"/>
      <c r="B681" s="32"/>
      <c r="C681" s="32"/>
      <c r="D681" s="32"/>
      <c r="E681" s="32"/>
      <c r="F681" s="45"/>
      <c r="G681" s="45"/>
      <c r="H681" s="45"/>
      <c r="I681" s="32"/>
      <c r="J681" s="9"/>
      <c r="K681" s="9"/>
      <c r="L681" s="45"/>
      <c r="M681" s="45"/>
      <c r="N681" s="45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9"/>
      <c r="AF681" s="32"/>
      <c r="AG681" s="46"/>
      <c r="AH681" s="46"/>
      <c r="AI681" s="47"/>
      <c r="AJ681" s="47"/>
      <c r="AK681" s="46"/>
      <c r="AL681" s="9"/>
      <c r="AM681" s="32"/>
      <c r="AN681" s="42"/>
    </row>
    <row r="682" spans="1:40" x14ac:dyDescent="0.2">
      <c r="A682" s="60"/>
      <c r="B682" s="32"/>
      <c r="C682" s="32"/>
      <c r="D682" s="32"/>
      <c r="E682" s="32"/>
      <c r="F682" s="45"/>
      <c r="G682" s="45"/>
      <c r="H682" s="45"/>
      <c r="I682" s="32"/>
      <c r="J682" s="9"/>
      <c r="K682" s="9"/>
      <c r="L682" s="45"/>
      <c r="M682" s="45"/>
      <c r="N682" s="45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9"/>
      <c r="AF682" s="32"/>
      <c r="AG682" s="46"/>
      <c r="AH682" s="46"/>
      <c r="AI682" s="47"/>
      <c r="AJ682" s="47"/>
      <c r="AK682" s="46"/>
      <c r="AL682" s="9"/>
      <c r="AM682" s="32"/>
      <c r="AN682" s="42"/>
    </row>
    <row r="683" spans="1:40" x14ac:dyDescent="0.2">
      <c r="A683" s="60"/>
      <c r="B683" s="32"/>
      <c r="C683" s="32"/>
      <c r="D683" s="32"/>
      <c r="E683" s="32"/>
      <c r="F683" s="45"/>
      <c r="G683" s="45"/>
      <c r="H683" s="45"/>
      <c r="I683" s="32"/>
      <c r="J683" s="9"/>
      <c r="K683" s="9"/>
      <c r="L683" s="45"/>
      <c r="M683" s="45"/>
      <c r="N683" s="45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9"/>
      <c r="AF683" s="32"/>
      <c r="AG683" s="46"/>
      <c r="AH683" s="46"/>
      <c r="AI683" s="47"/>
      <c r="AJ683" s="47"/>
      <c r="AK683" s="46"/>
      <c r="AL683" s="9"/>
      <c r="AM683" s="32"/>
      <c r="AN683" s="42"/>
    </row>
    <row r="684" spans="1:40" x14ac:dyDescent="0.2">
      <c r="A684" s="60"/>
      <c r="B684" s="32"/>
      <c r="C684" s="32"/>
      <c r="D684" s="32"/>
      <c r="E684" s="32"/>
      <c r="F684" s="45"/>
      <c r="G684" s="45"/>
      <c r="H684" s="45"/>
      <c r="I684" s="32"/>
      <c r="J684" s="9"/>
      <c r="K684" s="9"/>
      <c r="L684" s="45"/>
      <c r="M684" s="45"/>
      <c r="N684" s="45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9"/>
      <c r="AF684" s="32"/>
      <c r="AG684" s="46"/>
      <c r="AH684" s="46"/>
      <c r="AI684" s="47"/>
      <c r="AJ684" s="47"/>
      <c r="AK684" s="46"/>
      <c r="AL684" s="9"/>
      <c r="AM684" s="32"/>
      <c r="AN684" s="42"/>
    </row>
    <row r="685" spans="1:40" x14ac:dyDescent="0.2">
      <c r="A685" s="60"/>
      <c r="B685" s="32"/>
      <c r="C685" s="32"/>
      <c r="D685" s="32"/>
      <c r="E685" s="32"/>
      <c r="F685" s="45"/>
      <c r="G685" s="45"/>
      <c r="H685" s="45"/>
      <c r="I685" s="32"/>
      <c r="J685" s="9"/>
      <c r="K685" s="9"/>
      <c r="L685" s="45"/>
      <c r="M685" s="45"/>
      <c r="N685" s="45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9"/>
      <c r="AF685" s="32"/>
      <c r="AG685" s="46"/>
      <c r="AH685" s="46"/>
      <c r="AI685" s="47"/>
      <c r="AJ685" s="47"/>
      <c r="AK685" s="46"/>
      <c r="AL685" s="9"/>
      <c r="AM685" s="32"/>
      <c r="AN685" s="42"/>
    </row>
    <row r="686" spans="1:40" x14ac:dyDescent="0.2">
      <c r="A686" s="60"/>
      <c r="B686" s="32"/>
      <c r="C686" s="32"/>
      <c r="D686" s="32"/>
      <c r="E686" s="32"/>
      <c r="F686" s="45"/>
      <c r="G686" s="45"/>
      <c r="H686" s="45"/>
      <c r="I686" s="32"/>
      <c r="J686" s="9"/>
      <c r="K686" s="9"/>
      <c r="L686" s="45"/>
      <c r="M686" s="45"/>
      <c r="N686" s="45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9"/>
      <c r="AF686" s="32"/>
      <c r="AG686" s="46"/>
      <c r="AH686" s="46"/>
      <c r="AI686" s="47"/>
      <c r="AJ686" s="47"/>
      <c r="AK686" s="46"/>
      <c r="AL686" s="9"/>
      <c r="AM686" s="32"/>
      <c r="AN686" s="42"/>
    </row>
    <row r="687" spans="1:40" x14ac:dyDescent="0.2">
      <c r="A687" s="60"/>
      <c r="B687" s="32"/>
      <c r="C687" s="32"/>
      <c r="D687" s="32"/>
      <c r="E687" s="32"/>
      <c r="F687" s="45"/>
      <c r="G687" s="45"/>
      <c r="H687" s="45"/>
      <c r="I687" s="32"/>
      <c r="J687" s="9"/>
      <c r="K687" s="9"/>
      <c r="L687" s="45"/>
      <c r="M687" s="45"/>
      <c r="N687" s="45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9"/>
      <c r="AF687" s="32"/>
      <c r="AG687" s="46"/>
      <c r="AH687" s="46"/>
      <c r="AI687" s="47"/>
      <c r="AJ687" s="47"/>
      <c r="AK687" s="46"/>
      <c r="AL687" s="9"/>
      <c r="AM687" s="32"/>
      <c r="AN687" s="42"/>
    </row>
    <row r="688" spans="1:40" x14ac:dyDescent="0.2">
      <c r="A688" s="60"/>
      <c r="B688" s="32"/>
      <c r="C688" s="32"/>
      <c r="D688" s="32"/>
      <c r="E688" s="32"/>
      <c r="F688" s="45"/>
      <c r="G688" s="45"/>
      <c r="H688" s="45"/>
      <c r="I688" s="32"/>
      <c r="J688" s="9"/>
      <c r="K688" s="9"/>
      <c r="L688" s="45"/>
      <c r="M688" s="45"/>
      <c r="N688" s="45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9"/>
      <c r="AF688" s="32"/>
      <c r="AG688" s="46"/>
      <c r="AH688" s="46"/>
      <c r="AI688" s="47"/>
      <c r="AJ688" s="47"/>
      <c r="AK688" s="46"/>
      <c r="AL688" s="9"/>
      <c r="AM688" s="32"/>
      <c r="AN688" s="42"/>
    </row>
    <row r="689" spans="1:40" x14ac:dyDescent="0.2">
      <c r="A689" s="60"/>
      <c r="B689" s="32"/>
      <c r="C689" s="32"/>
      <c r="D689" s="32"/>
      <c r="E689" s="32"/>
      <c r="F689" s="45"/>
      <c r="G689" s="45"/>
      <c r="H689" s="45"/>
      <c r="I689" s="32"/>
      <c r="J689" s="9"/>
      <c r="K689" s="9"/>
      <c r="L689" s="45"/>
      <c r="M689" s="45"/>
      <c r="N689" s="45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9"/>
      <c r="AF689" s="32"/>
      <c r="AG689" s="46"/>
      <c r="AH689" s="46"/>
      <c r="AI689" s="47"/>
      <c r="AJ689" s="47"/>
      <c r="AK689" s="46"/>
      <c r="AL689" s="9"/>
      <c r="AM689" s="32"/>
      <c r="AN689" s="42"/>
    </row>
    <row r="690" spans="1:40" x14ac:dyDescent="0.2">
      <c r="A690" s="60"/>
      <c r="B690" s="32"/>
      <c r="C690" s="32"/>
      <c r="D690" s="32"/>
      <c r="E690" s="32"/>
      <c r="F690" s="45"/>
      <c r="G690" s="45"/>
      <c r="H690" s="45"/>
      <c r="I690" s="32"/>
      <c r="J690" s="9"/>
      <c r="K690" s="9"/>
      <c r="L690" s="45"/>
      <c r="M690" s="45"/>
      <c r="N690" s="45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9"/>
      <c r="AF690" s="32"/>
      <c r="AG690" s="46"/>
      <c r="AH690" s="46"/>
      <c r="AI690" s="47"/>
      <c r="AJ690" s="47"/>
      <c r="AK690" s="46"/>
      <c r="AL690" s="9"/>
      <c r="AM690" s="32"/>
      <c r="AN690" s="42"/>
    </row>
    <row r="691" spans="1:40" x14ac:dyDescent="0.2">
      <c r="A691" s="60"/>
      <c r="B691" s="32"/>
      <c r="C691" s="32"/>
      <c r="D691" s="32"/>
      <c r="E691" s="32"/>
      <c r="F691" s="45"/>
      <c r="G691" s="45"/>
      <c r="H691" s="45"/>
      <c r="I691" s="32"/>
      <c r="J691" s="9"/>
      <c r="K691" s="9"/>
      <c r="L691" s="45"/>
      <c r="M691" s="45"/>
      <c r="N691" s="45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9"/>
      <c r="AF691" s="32"/>
      <c r="AG691" s="46"/>
      <c r="AH691" s="46"/>
      <c r="AI691" s="47"/>
      <c r="AJ691" s="47"/>
      <c r="AK691" s="46"/>
      <c r="AL691" s="9"/>
      <c r="AM691" s="32"/>
      <c r="AN691" s="42"/>
    </row>
    <row r="692" spans="1:40" x14ac:dyDescent="0.2">
      <c r="A692" s="60"/>
      <c r="B692" s="32"/>
      <c r="C692" s="32"/>
      <c r="D692" s="32"/>
      <c r="E692" s="32"/>
      <c r="F692" s="45"/>
      <c r="G692" s="45"/>
      <c r="H692" s="45"/>
      <c r="I692" s="32"/>
      <c r="J692" s="9"/>
      <c r="K692" s="9"/>
      <c r="L692" s="45"/>
      <c r="M692" s="45"/>
      <c r="N692" s="45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9"/>
      <c r="AF692" s="32"/>
      <c r="AG692" s="46"/>
      <c r="AH692" s="46"/>
      <c r="AI692" s="47"/>
      <c r="AJ692" s="47"/>
      <c r="AK692" s="46"/>
      <c r="AL692" s="9"/>
      <c r="AM692" s="32"/>
      <c r="AN692" s="42"/>
    </row>
    <row r="693" spans="1:40" x14ac:dyDescent="0.2">
      <c r="A693" s="60"/>
      <c r="B693" s="32"/>
      <c r="C693" s="32"/>
      <c r="D693" s="32"/>
      <c r="E693" s="32"/>
      <c r="F693" s="45"/>
      <c r="G693" s="45"/>
      <c r="H693" s="45"/>
      <c r="I693" s="32"/>
      <c r="J693" s="9"/>
      <c r="K693" s="9"/>
      <c r="L693" s="45"/>
      <c r="M693" s="45"/>
      <c r="N693" s="45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9"/>
      <c r="AF693" s="32"/>
      <c r="AG693" s="46"/>
      <c r="AH693" s="46"/>
      <c r="AI693" s="47"/>
      <c r="AJ693" s="47"/>
      <c r="AK693" s="46"/>
      <c r="AL693" s="9"/>
      <c r="AM693" s="32"/>
      <c r="AN693" s="42"/>
    </row>
    <row r="694" spans="1:40" x14ac:dyDescent="0.2">
      <c r="A694" s="60"/>
      <c r="B694" s="32"/>
      <c r="C694" s="32"/>
      <c r="D694" s="32"/>
      <c r="E694" s="32"/>
      <c r="F694" s="45"/>
      <c r="G694" s="45"/>
      <c r="H694" s="45"/>
      <c r="I694" s="32"/>
      <c r="J694" s="9"/>
      <c r="K694" s="9"/>
      <c r="L694" s="45"/>
      <c r="M694" s="45"/>
      <c r="N694" s="45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9"/>
      <c r="AF694" s="32"/>
      <c r="AG694" s="46"/>
      <c r="AH694" s="46"/>
      <c r="AI694" s="47"/>
      <c r="AJ694" s="47"/>
      <c r="AK694" s="46"/>
      <c r="AL694" s="9"/>
      <c r="AM694" s="32"/>
      <c r="AN694" s="42"/>
    </row>
    <row r="695" spans="1:40" x14ac:dyDescent="0.2">
      <c r="A695" s="60"/>
      <c r="B695" s="32"/>
      <c r="C695" s="32"/>
      <c r="D695" s="32"/>
      <c r="E695" s="32"/>
      <c r="F695" s="45"/>
      <c r="G695" s="45"/>
      <c r="H695" s="45"/>
      <c r="I695" s="32"/>
      <c r="J695" s="9"/>
      <c r="K695" s="9"/>
      <c r="L695" s="45"/>
      <c r="M695" s="45"/>
      <c r="N695" s="45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9"/>
      <c r="AF695" s="32"/>
      <c r="AG695" s="46"/>
      <c r="AH695" s="46"/>
      <c r="AI695" s="47"/>
      <c r="AJ695" s="47"/>
      <c r="AK695" s="46"/>
      <c r="AL695" s="9"/>
      <c r="AM695" s="32"/>
      <c r="AN695" s="42"/>
    </row>
    <row r="696" spans="1:40" x14ac:dyDescent="0.2">
      <c r="A696" s="60"/>
      <c r="B696" s="32"/>
      <c r="C696" s="32"/>
      <c r="D696" s="32"/>
      <c r="E696" s="32"/>
      <c r="F696" s="45"/>
      <c r="G696" s="45"/>
      <c r="H696" s="45"/>
      <c r="I696" s="32"/>
      <c r="J696" s="9"/>
      <c r="K696" s="9"/>
      <c r="L696" s="45"/>
      <c r="M696" s="45"/>
      <c r="N696" s="45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9"/>
      <c r="AF696" s="32"/>
      <c r="AG696" s="46"/>
      <c r="AH696" s="46"/>
      <c r="AI696" s="47"/>
      <c r="AJ696" s="47"/>
      <c r="AK696" s="46"/>
      <c r="AL696" s="9"/>
      <c r="AM696" s="32"/>
      <c r="AN696" s="42"/>
    </row>
    <row r="697" spans="1:40" x14ac:dyDescent="0.2">
      <c r="A697" s="60"/>
      <c r="B697" s="32"/>
      <c r="C697" s="32"/>
      <c r="D697" s="32"/>
      <c r="E697" s="32"/>
      <c r="F697" s="45"/>
      <c r="G697" s="45"/>
      <c r="H697" s="45"/>
      <c r="I697" s="32"/>
      <c r="J697" s="9"/>
      <c r="K697" s="9"/>
      <c r="L697" s="45"/>
      <c r="M697" s="45"/>
      <c r="N697" s="45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9"/>
      <c r="AF697" s="32"/>
      <c r="AG697" s="46"/>
      <c r="AH697" s="46"/>
      <c r="AI697" s="47"/>
      <c r="AJ697" s="47"/>
      <c r="AK697" s="46"/>
      <c r="AL697" s="9"/>
      <c r="AM697" s="32"/>
      <c r="AN697" s="42"/>
    </row>
    <row r="698" spans="1:40" x14ac:dyDescent="0.2">
      <c r="A698" s="60"/>
      <c r="B698" s="32"/>
      <c r="C698" s="32"/>
      <c r="D698" s="32"/>
      <c r="E698" s="32"/>
      <c r="F698" s="45"/>
      <c r="G698" s="45"/>
      <c r="H698" s="45"/>
      <c r="I698" s="32"/>
      <c r="J698" s="9"/>
      <c r="K698" s="9"/>
      <c r="L698" s="45"/>
      <c r="M698" s="45"/>
      <c r="N698" s="45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9"/>
      <c r="AF698" s="32"/>
      <c r="AG698" s="46"/>
      <c r="AH698" s="46"/>
      <c r="AI698" s="47"/>
      <c r="AJ698" s="47"/>
      <c r="AK698" s="46"/>
      <c r="AL698" s="9"/>
      <c r="AM698" s="32"/>
      <c r="AN698" s="42"/>
    </row>
    <row r="699" spans="1:40" x14ac:dyDescent="0.2">
      <c r="A699" s="60"/>
      <c r="B699" s="32"/>
      <c r="C699" s="32"/>
      <c r="D699" s="32"/>
      <c r="E699" s="32"/>
      <c r="F699" s="45"/>
      <c r="G699" s="45"/>
      <c r="H699" s="45"/>
      <c r="I699" s="32"/>
      <c r="J699" s="9"/>
      <c r="K699" s="9"/>
      <c r="L699" s="45"/>
      <c r="M699" s="45"/>
      <c r="N699" s="45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9"/>
      <c r="AF699" s="32"/>
      <c r="AG699" s="46"/>
      <c r="AH699" s="46"/>
      <c r="AI699" s="47"/>
      <c r="AJ699" s="47"/>
      <c r="AK699" s="46"/>
      <c r="AL699" s="9"/>
      <c r="AM699" s="32"/>
      <c r="AN699" s="42"/>
    </row>
    <row r="700" spans="1:40" x14ac:dyDescent="0.2">
      <c r="A700" s="60"/>
      <c r="B700" s="32"/>
      <c r="C700" s="32"/>
      <c r="D700" s="32"/>
      <c r="E700" s="32"/>
      <c r="F700" s="45"/>
      <c r="G700" s="45"/>
      <c r="H700" s="45"/>
      <c r="I700" s="32"/>
      <c r="J700" s="9"/>
      <c r="K700" s="9"/>
      <c r="L700" s="45"/>
      <c r="M700" s="45"/>
      <c r="N700" s="45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9"/>
      <c r="AF700" s="32"/>
      <c r="AG700" s="46"/>
      <c r="AH700" s="46"/>
      <c r="AI700" s="47"/>
      <c r="AJ700" s="47"/>
      <c r="AK700" s="46"/>
      <c r="AL700" s="9"/>
      <c r="AM700" s="32"/>
      <c r="AN700" s="42"/>
    </row>
    <row r="701" spans="1:40" x14ac:dyDescent="0.2">
      <c r="A701" s="60"/>
      <c r="B701" s="32"/>
      <c r="C701" s="32"/>
      <c r="D701" s="32"/>
      <c r="E701" s="32"/>
      <c r="F701" s="45"/>
      <c r="G701" s="45"/>
      <c r="H701" s="45"/>
      <c r="I701" s="32"/>
      <c r="J701" s="9"/>
      <c r="K701" s="9"/>
      <c r="L701" s="45"/>
      <c r="M701" s="45"/>
      <c r="N701" s="45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9"/>
      <c r="AF701" s="32"/>
      <c r="AG701" s="46"/>
      <c r="AH701" s="46"/>
      <c r="AI701" s="47"/>
      <c r="AJ701" s="47"/>
      <c r="AK701" s="46"/>
      <c r="AL701" s="9"/>
      <c r="AM701" s="32"/>
      <c r="AN701" s="42"/>
    </row>
    <row r="702" spans="1:40" x14ac:dyDescent="0.2">
      <c r="A702" s="60"/>
      <c r="B702" s="32"/>
      <c r="C702" s="32"/>
      <c r="D702" s="32"/>
      <c r="E702" s="32"/>
      <c r="F702" s="45"/>
      <c r="G702" s="45"/>
      <c r="H702" s="45"/>
      <c r="I702" s="32"/>
      <c r="J702" s="9"/>
      <c r="K702" s="9"/>
      <c r="L702" s="45"/>
      <c r="M702" s="45"/>
      <c r="N702" s="45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9"/>
      <c r="AF702" s="32"/>
      <c r="AG702" s="46"/>
      <c r="AH702" s="46"/>
      <c r="AI702" s="47"/>
      <c r="AJ702" s="47"/>
      <c r="AK702" s="46"/>
      <c r="AL702" s="9"/>
      <c r="AM702" s="32"/>
      <c r="AN702" s="42"/>
    </row>
    <row r="703" spans="1:40" x14ac:dyDescent="0.2">
      <c r="A703" s="60"/>
      <c r="B703" s="32"/>
      <c r="C703" s="32"/>
      <c r="D703" s="32"/>
      <c r="E703" s="32"/>
      <c r="F703" s="45"/>
      <c r="G703" s="45"/>
      <c r="H703" s="45"/>
      <c r="I703" s="32"/>
      <c r="J703" s="9"/>
      <c r="K703" s="9"/>
      <c r="L703" s="45"/>
      <c r="M703" s="45"/>
      <c r="N703" s="45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9"/>
      <c r="AF703" s="32"/>
      <c r="AG703" s="46"/>
      <c r="AH703" s="46"/>
      <c r="AI703" s="47"/>
      <c r="AJ703" s="47"/>
      <c r="AK703" s="46"/>
      <c r="AL703" s="9"/>
      <c r="AM703" s="32"/>
      <c r="AN703" s="42"/>
    </row>
    <row r="704" spans="1:40" x14ac:dyDescent="0.2">
      <c r="A704" s="60"/>
      <c r="B704" s="32"/>
      <c r="C704" s="32"/>
      <c r="D704" s="32"/>
      <c r="E704" s="32"/>
      <c r="F704" s="45"/>
      <c r="G704" s="45"/>
      <c r="H704" s="45"/>
      <c r="I704" s="32"/>
      <c r="J704" s="9"/>
      <c r="K704" s="9"/>
      <c r="L704" s="45"/>
      <c r="M704" s="45"/>
      <c r="N704" s="45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9"/>
      <c r="AF704" s="32"/>
      <c r="AG704" s="46"/>
      <c r="AH704" s="46"/>
      <c r="AI704" s="47"/>
      <c r="AJ704" s="47"/>
      <c r="AK704" s="46"/>
      <c r="AL704" s="9"/>
      <c r="AM704" s="32"/>
      <c r="AN704" s="42"/>
    </row>
    <row r="705" spans="1:40" x14ac:dyDescent="0.2">
      <c r="A705" s="60"/>
      <c r="B705" s="32"/>
      <c r="C705" s="32"/>
      <c r="D705" s="32"/>
      <c r="E705" s="32"/>
      <c r="F705" s="45"/>
      <c r="G705" s="45"/>
      <c r="H705" s="45"/>
      <c r="I705" s="32"/>
      <c r="J705" s="9"/>
      <c r="K705" s="9"/>
      <c r="L705" s="45"/>
      <c r="M705" s="45"/>
      <c r="N705" s="45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9"/>
      <c r="AF705" s="32"/>
      <c r="AG705" s="46"/>
      <c r="AH705" s="46"/>
      <c r="AI705" s="47"/>
      <c r="AJ705" s="47"/>
      <c r="AK705" s="46"/>
      <c r="AL705" s="9"/>
      <c r="AM705" s="32"/>
      <c r="AN705" s="42"/>
    </row>
    <row r="706" spans="1:40" x14ac:dyDescent="0.2">
      <c r="A706" s="60"/>
      <c r="B706" s="32"/>
      <c r="C706" s="32"/>
      <c r="D706" s="32"/>
      <c r="E706" s="32"/>
      <c r="F706" s="45"/>
      <c r="G706" s="45"/>
      <c r="H706" s="45"/>
      <c r="I706" s="32"/>
      <c r="J706" s="9"/>
      <c r="K706" s="9"/>
      <c r="L706" s="45"/>
      <c r="M706" s="45"/>
      <c r="N706" s="45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9"/>
      <c r="AF706" s="32"/>
      <c r="AG706" s="46"/>
      <c r="AH706" s="46"/>
      <c r="AI706" s="47"/>
      <c r="AJ706" s="47"/>
      <c r="AK706" s="46"/>
      <c r="AL706" s="9"/>
      <c r="AM706" s="32"/>
      <c r="AN706" s="42"/>
    </row>
    <row r="707" spans="1:40" x14ac:dyDescent="0.2">
      <c r="A707" s="60"/>
      <c r="B707" s="32"/>
      <c r="C707" s="32"/>
      <c r="D707" s="32"/>
      <c r="E707" s="32"/>
      <c r="F707" s="45"/>
      <c r="G707" s="45"/>
      <c r="H707" s="45"/>
      <c r="I707" s="32"/>
      <c r="J707" s="9"/>
      <c r="K707" s="9"/>
      <c r="L707" s="45"/>
      <c r="M707" s="45"/>
      <c r="N707" s="45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9"/>
      <c r="AF707" s="32"/>
      <c r="AG707" s="46"/>
      <c r="AH707" s="46"/>
      <c r="AI707" s="47"/>
      <c r="AJ707" s="47"/>
      <c r="AK707" s="46"/>
      <c r="AL707" s="9"/>
      <c r="AM707" s="32"/>
      <c r="AN707" s="42"/>
    </row>
    <row r="708" spans="1:40" x14ac:dyDescent="0.2">
      <c r="A708" s="60"/>
      <c r="B708" s="32"/>
      <c r="C708" s="32"/>
      <c r="D708" s="32"/>
      <c r="E708" s="32"/>
      <c r="F708" s="45"/>
      <c r="G708" s="45"/>
      <c r="H708" s="45"/>
      <c r="I708" s="32"/>
      <c r="J708" s="9"/>
      <c r="K708" s="9"/>
      <c r="L708" s="45"/>
      <c r="M708" s="45"/>
      <c r="N708" s="45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9"/>
      <c r="AF708" s="32"/>
      <c r="AG708" s="46"/>
      <c r="AH708" s="46"/>
      <c r="AI708" s="47"/>
      <c r="AJ708" s="47"/>
      <c r="AK708" s="46"/>
      <c r="AL708" s="9"/>
      <c r="AM708" s="32"/>
      <c r="AN708" s="42"/>
    </row>
    <row r="709" spans="1:40" x14ac:dyDescent="0.2">
      <c r="A709" s="60"/>
      <c r="B709" s="32"/>
      <c r="C709" s="32"/>
      <c r="D709" s="32"/>
      <c r="E709" s="32"/>
      <c r="F709" s="45"/>
      <c r="G709" s="45"/>
      <c r="H709" s="45"/>
      <c r="I709" s="32"/>
      <c r="J709" s="9"/>
      <c r="K709" s="9"/>
      <c r="L709" s="45"/>
      <c r="M709" s="45"/>
      <c r="N709" s="45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9"/>
      <c r="AF709" s="32"/>
      <c r="AG709" s="46"/>
      <c r="AH709" s="46"/>
      <c r="AI709" s="47"/>
      <c r="AJ709" s="47"/>
      <c r="AK709" s="46"/>
      <c r="AL709" s="9"/>
      <c r="AM709" s="32"/>
      <c r="AN709" s="42"/>
    </row>
    <row r="710" spans="1:40" x14ac:dyDescent="0.2">
      <c r="A710" s="60"/>
      <c r="B710" s="32"/>
      <c r="C710" s="32"/>
      <c r="D710" s="32"/>
      <c r="E710" s="32"/>
      <c r="F710" s="45"/>
      <c r="G710" s="45"/>
      <c r="H710" s="45"/>
      <c r="I710" s="32"/>
      <c r="J710" s="9"/>
      <c r="K710" s="9"/>
      <c r="L710" s="45"/>
      <c r="M710" s="45"/>
      <c r="N710" s="45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9"/>
      <c r="AF710" s="32"/>
      <c r="AG710" s="46"/>
      <c r="AH710" s="46"/>
      <c r="AI710" s="47"/>
      <c r="AJ710" s="47"/>
      <c r="AK710" s="46"/>
      <c r="AL710" s="9"/>
      <c r="AM710" s="32"/>
      <c r="AN710" s="42"/>
    </row>
    <row r="711" spans="1:40" x14ac:dyDescent="0.2">
      <c r="A711" s="60"/>
      <c r="B711" s="32"/>
      <c r="C711" s="32"/>
      <c r="D711" s="32"/>
      <c r="E711" s="32"/>
      <c r="F711" s="45"/>
      <c r="G711" s="45"/>
      <c r="H711" s="45"/>
      <c r="I711" s="32"/>
      <c r="J711" s="9"/>
      <c r="K711" s="9"/>
      <c r="L711" s="45"/>
      <c r="M711" s="45"/>
      <c r="N711" s="45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9"/>
      <c r="AF711" s="32"/>
      <c r="AG711" s="46"/>
      <c r="AH711" s="46"/>
      <c r="AI711" s="47"/>
      <c r="AJ711" s="47"/>
      <c r="AK711" s="46"/>
      <c r="AL711" s="9"/>
      <c r="AM711" s="32"/>
      <c r="AN711" s="42"/>
    </row>
    <row r="712" spans="1:40" x14ac:dyDescent="0.2">
      <c r="A712" s="60"/>
      <c r="B712" s="32"/>
      <c r="C712" s="32"/>
      <c r="D712" s="32"/>
      <c r="E712" s="32"/>
      <c r="F712" s="45"/>
      <c r="G712" s="45"/>
      <c r="H712" s="45"/>
      <c r="I712" s="32"/>
      <c r="J712" s="9"/>
      <c r="K712" s="9"/>
      <c r="L712" s="45"/>
      <c r="M712" s="45"/>
      <c r="N712" s="45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9"/>
      <c r="AF712" s="32"/>
      <c r="AG712" s="46"/>
      <c r="AH712" s="46"/>
      <c r="AI712" s="47"/>
      <c r="AJ712" s="47"/>
      <c r="AK712" s="46"/>
      <c r="AL712" s="9"/>
      <c r="AM712" s="32"/>
      <c r="AN712" s="42"/>
    </row>
    <row r="713" spans="1:40" x14ac:dyDescent="0.2">
      <c r="A713" s="60"/>
      <c r="B713" s="32"/>
      <c r="C713" s="32"/>
      <c r="D713" s="32"/>
      <c r="E713" s="32"/>
      <c r="F713" s="45"/>
      <c r="G713" s="45"/>
      <c r="H713" s="45"/>
      <c r="I713" s="32"/>
      <c r="J713" s="9"/>
      <c r="K713" s="9"/>
      <c r="L713" s="45"/>
      <c r="M713" s="45"/>
      <c r="N713" s="45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9"/>
      <c r="AF713" s="32"/>
      <c r="AG713" s="46"/>
      <c r="AH713" s="46"/>
      <c r="AI713" s="47"/>
      <c r="AJ713" s="47"/>
      <c r="AK713" s="46"/>
      <c r="AL713" s="9"/>
      <c r="AM713" s="32"/>
      <c r="AN713" s="42"/>
    </row>
    <row r="714" spans="1:40" x14ac:dyDescent="0.2">
      <c r="A714" s="60"/>
      <c r="B714" s="32"/>
      <c r="C714" s="32"/>
      <c r="D714" s="32"/>
      <c r="E714" s="32"/>
      <c r="F714" s="45"/>
      <c r="G714" s="45"/>
      <c r="H714" s="45"/>
      <c r="I714" s="32"/>
      <c r="J714" s="9"/>
      <c r="K714" s="9"/>
      <c r="L714" s="45"/>
      <c r="M714" s="45"/>
      <c r="N714" s="45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9"/>
      <c r="AF714" s="32"/>
      <c r="AG714" s="46"/>
      <c r="AH714" s="46"/>
      <c r="AI714" s="47"/>
      <c r="AJ714" s="47"/>
      <c r="AK714" s="46"/>
      <c r="AL714" s="9"/>
      <c r="AM714" s="32"/>
      <c r="AN714" s="42"/>
    </row>
    <row r="715" spans="1:40" x14ac:dyDescent="0.2">
      <c r="A715" s="60"/>
      <c r="B715" s="32"/>
      <c r="C715" s="32"/>
      <c r="D715" s="32"/>
      <c r="E715" s="32"/>
      <c r="F715" s="45"/>
      <c r="G715" s="45"/>
      <c r="H715" s="45"/>
      <c r="I715" s="32"/>
      <c r="J715" s="9"/>
      <c r="K715" s="9"/>
      <c r="L715" s="45"/>
      <c r="M715" s="45"/>
      <c r="N715" s="45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9"/>
      <c r="AF715" s="32"/>
      <c r="AG715" s="46"/>
      <c r="AH715" s="46"/>
      <c r="AI715" s="47"/>
      <c r="AJ715" s="47"/>
      <c r="AK715" s="46"/>
      <c r="AL715" s="9"/>
      <c r="AM715" s="32"/>
      <c r="AN715" s="42"/>
    </row>
    <row r="716" spans="1:40" x14ac:dyDescent="0.2">
      <c r="A716" s="60"/>
      <c r="B716" s="32"/>
      <c r="C716" s="32"/>
      <c r="D716" s="32"/>
      <c r="E716" s="32"/>
      <c r="F716" s="45"/>
      <c r="G716" s="45"/>
      <c r="H716" s="45"/>
      <c r="I716" s="32"/>
      <c r="J716" s="9"/>
      <c r="K716" s="9"/>
      <c r="L716" s="45"/>
      <c r="M716" s="45"/>
      <c r="N716" s="45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9"/>
      <c r="AF716" s="32"/>
      <c r="AG716" s="46"/>
      <c r="AH716" s="46"/>
      <c r="AI716" s="47"/>
      <c r="AJ716" s="47"/>
      <c r="AK716" s="46"/>
      <c r="AL716" s="9"/>
      <c r="AM716" s="32"/>
      <c r="AN716" s="42"/>
    </row>
    <row r="717" spans="1:40" x14ac:dyDescent="0.2">
      <c r="A717" s="60"/>
      <c r="B717" s="32"/>
      <c r="C717" s="32"/>
      <c r="D717" s="32"/>
      <c r="E717" s="32"/>
      <c r="F717" s="45"/>
      <c r="G717" s="45"/>
      <c r="H717" s="45"/>
      <c r="I717" s="32"/>
      <c r="J717" s="9"/>
      <c r="K717" s="9"/>
      <c r="L717" s="45"/>
      <c r="M717" s="45"/>
      <c r="N717" s="45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9"/>
      <c r="AF717" s="32"/>
      <c r="AG717" s="46"/>
      <c r="AH717" s="46"/>
      <c r="AI717" s="47"/>
      <c r="AJ717" s="47"/>
      <c r="AK717" s="46"/>
      <c r="AL717" s="9"/>
      <c r="AM717" s="32"/>
      <c r="AN717" s="42"/>
    </row>
    <row r="718" spans="1:40" x14ac:dyDescent="0.2">
      <c r="A718" s="60"/>
      <c r="B718" s="32"/>
      <c r="C718" s="32"/>
      <c r="D718" s="32"/>
      <c r="E718" s="32"/>
      <c r="F718" s="45"/>
      <c r="G718" s="45"/>
      <c r="H718" s="45"/>
      <c r="I718" s="32"/>
      <c r="J718" s="9"/>
      <c r="K718" s="9"/>
      <c r="L718" s="45"/>
      <c r="M718" s="45"/>
      <c r="N718" s="45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9"/>
      <c r="AF718" s="32"/>
      <c r="AG718" s="46"/>
      <c r="AH718" s="46"/>
      <c r="AI718" s="47"/>
      <c r="AJ718" s="47"/>
      <c r="AK718" s="46"/>
      <c r="AL718" s="9"/>
      <c r="AM718" s="32"/>
      <c r="AN718" s="42"/>
    </row>
    <row r="719" spans="1:40" x14ac:dyDescent="0.2">
      <c r="A719" s="60"/>
      <c r="B719" s="32"/>
      <c r="C719" s="32"/>
      <c r="D719" s="32"/>
      <c r="E719" s="32"/>
      <c r="F719" s="45"/>
      <c r="G719" s="45"/>
      <c r="H719" s="45"/>
      <c r="I719" s="32"/>
      <c r="J719" s="9"/>
      <c r="K719" s="9"/>
      <c r="L719" s="45"/>
      <c r="M719" s="45"/>
      <c r="N719" s="45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9"/>
      <c r="AF719" s="32"/>
      <c r="AG719" s="46"/>
      <c r="AH719" s="46"/>
      <c r="AI719" s="47"/>
      <c r="AJ719" s="47"/>
      <c r="AK719" s="46"/>
      <c r="AL719" s="9"/>
      <c r="AM719" s="32"/>
      <c r="AN719" s="42"/>
    </row>
    <row r="720" spans="1:40" x14ac:dyDescent="0.2">
      <c r="A720" s="60"/>
      <c r="B720" s="32"/>
      <c r="C720" s="32"/>
      <c r="D720" s="32"/>
      <c r="E720" s="32"/>
      <c r="F720" s="45"/>
      <c r="G720" s="45"/>
      <c r="H720" s="45"/>
      <c r="I720" s="32"/>
      <c r="J720" s="9"/>
      <c r="K720" s="9"/>
      <c r="L720" s="45"/>
      <c r="M720" s="45"/>
      <c r="N720" s="45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9"/>
      <c r="AF720" s="32"/>
      <c r="AG720" s="46"/>
      <c r="AH720" s="46"/>
      <c r="AI720" s="47"/>
      <c r="AJ720" s="47"/>
      <c r="AK720" s="46"/>
      <c r="AL720" s="9"/>
      <c r="AM720" s="32"/>
      <c r="AN720" s="42"/>
    </row>
    <row r="721" spans="1:40" x14ac:dyDescent="0.2">
      <c r="A721" s="60"/>
      <c r="B721" s="32"/>
      <c r="C721" s="32"/>
      <c r="D721" s="32"/>
      <c r="E721" s="32"/>
      <c r="F721" s="45"/>
      <c r="G721" s="45"/>
      <c r="H721" s="45"/>
      <c r="I721" s="32"/>
      <c r="J721" s="9"/>
      <c r="K721" s="9"/>
      <c r="L721" s="45"/>
      <c r="M721" s="45"/>
      <c r="N721" s="45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9"/>
      <c r="AF721" s="32"/>
      <c r="AG721" s="46"/>
      <c r="AH721" s="46"/>
      <c r="AI721" s="47"/>
      <c r="AJ721" s="47"/>
      <c r="AK721" s="46"/>
      <c r="AL721" s="9"/>
      <c r="AM721" s="32"/>
      <c r="AN721" s="42"/>
    </row>
    <row r="722" spans="1:40" x14ac:dyDescent="0.2">
      <c r="A722" s="60"/>
      <c r="B722" s="32"/>
      <c r="C722" s="32"/>
      <c r="D722" s="32"/>
      <c r="E722" s="32"/>
      <c r="F722" s="45"/>
      <c r="G722" s="45"/>
      <c r="H722" s="45"/>
      <c r="I722" s="32"/>
      <c r="J722" s="9"/>
      <c r="K722" s="9"/>
      <c r="L722" s="45"/>
      <c r="M722" s="45"/>
      <c r="N722" s="45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9"/>
      <c r="AF722" s="32"/>
      <c r="AG722" s="46"/>
      <c r="AH722" s="46"/>
      <c r="AI722" s="47"/>
      <c r="AJ722" s="47"/>
      <c r="AK722" s="46"/>
      <c r="AL722" s="9"/>
      <c r="AM722" s="32"/>
      <c r="AN722" s="42"/>
    </row>
    <row r="723" spans="1:40" x14ac:dyDescent="0.2">
      <c r="A723" s="60"/>
      <c r="B723" s="32"/>
      <c r="C723" s="32"/>
      <c r="D723" s="32"/>
      <c r="E723" s="32"/>
      <c r="F723" s="45"/>
      <c r="G723" s="45"/>
      <c r="H723" s="45"/>
      <c r="I723" s="32"/>
      <c r="J723" s="9"/>
      <c r="K723" s="9"/>
      <c r="L723" s="45"/>
      <c r="M723" s="45"/>
      <c r="N723" s="45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9"/>
      <c r="AF723" s="32"/>
      <c r="AG723" s="46"/>
      <c r="AH723" s="46"/>
      <c r="AI723" s="47"/>
      <c r="AJ723" s="47"/>
      <c r="AK723" s="46"/>
      <c r="AL723" s="9"/>
      <c r="AM723" s="32"/>
      <c r="AN723" s="42"/>
    </row>
    <row r="724" spans="1:40" x14ac:dyDescent="0.2">
      <c r="A724" s="60"/>
      <c r="B724" s="32"/>
      <c r="C724" s="32"/>
      <c r="D724" s="32"/>
      <c r="E724" s="32"/>
      <c r="F724" s="45"/>
      <c r="G724" s="45"/>
      <c r="H724" s="45"/>
      <c r="I724" s="32"/>
      <c r="J724" s="9"/>
      <c r="K724" s="9"/>
      <c r="L724" s="45"/>
      <c r="M724" s="45"/>
      <c r="N724" s="45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9"/>
      <c r="AF724" s="32"/>
      <c r="AG724" s="46"/>
      <c r="AH724" s="46"/>
      <c r="AI724" s="47"/>
      <c r="AJ724" s="47"/>
      <c r="AK724" s="46"/>
      <c r="AL724" s="9"/>
      <c r="AM724" s="32"/>
      <c r="AN724" s="42"/>
    </row>
    <row r="725" spans="1:40" x14ac:dyDescent="0.2">
      <c r="A725" s="60"/>
      <c r="B725" s="32"/>
      <c r="C725" s="32"/>
      <c r="D725" s="32"/>
      <c r="E725" s="32"/>
      <c r="F725" s="45"/>
      <c r="G725" s="45"/>
      <c r="H725" s="45"/>
      <c r="I725" s="32"/>
      <c r="J725" s="9"/>
      <c r="K725" s="9"/>
      <c r="L725" s="45"/>
      <c r="M725" s="45"/>
      <c r="N725" s="45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9"/>
      <c r="AF725" s="32"/>
      <c r="AG725" s="46"/>
      <c r="AH725" s="46"/>
      <c r="AI725" s="47"/>
      <c r="AJ725" s="47"/>
      <c r="AK725" s="46"/>
      <c r="AL725" s="9"/>
      <c r="AM725" s="32"/>
      <c r="AN725" s="42"/>
    </row>
    <row r="726" spans="1:40" x14ac:dyDescent="0.2">
      <c r="A726" s="60"/>
      <c r="B726" s="32"/>
      <c r="C726" s="32"/>
      <c r="D726" s="32"/>
      <c r="E726" s="32"/>
      <c r="F726" s="45"/>
      <c r="G726" s="45"/>
      <c r="H726" s="45"/>
      <c r="I726" s="32"/>
      <c r="J726" s="9"/>
      <c r="K726" s="9"/>
      <c r="L726" s="45"/>
      <c r="M726" s="45"/>
      <c r="N726" s="45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9"/>
      <c r="AF726" s="32"/>
      <c r="AG726" s="46"/>
      <c r="AH726" s="46"/>
      <c r="AI726" s="47"/>
      <c r="AJ726" s="47"/>
      <c r="AK726" s="46"/>
      <c r="AL726" s="9"/>
      <c r="AM726" s="32"/>
      <c r="AN726" s="42"/>
    </row>
    <row r="727" spans="1:40" x14ac:dyDescent="0.2">
      <c r="A727" s="60"/>
      <c r="B727" s="32"/>
      <c r="C727" s="32"/>
      <c r="D727" s="32"/>
      <c r="E727" s="32"/>
      <c r="F727" s="45"/>
      <c r="G727" s="45"/>
      <c r="H727" s="45"/>
      <c r="I727" s="32"/>
      <c r="J727" s="9"/>
      <c r="K727" s="9"/>
      <c r="L727" s="45"/>
      <c r="M727" s="45"/>
      <c r="N727" s="45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9"/>
      <c r="AF727" s="32"/>
      <c r="AG727" s="46"/>
      <c r="AH727" s="46"/>
      <c r="AI727" s="47"/>
      <c r="AJ727" s="47"/>
      <c r="AK727" s="46"/>
      <c r="AL727" s="9"/>
      <c r="AM727" s="32"/>
      <c r="AN727" s="42"/>
    </row>
    <row r="728" spans="1:40" x14ac:dyDescent="0.2">
      <c r="A728" s="60"/>
      <c r="B728" s="32"/>
      <c r="C728" s="32"/>
      <c r="D728" s="32"/>
      <c r="E728" s="32"/>
      <c r="F728" s="45"/>
      <c r="G728" s="45"/>
      <c r="H728" s="45"/>
      <c r="I728" s="32"/>
      <c r="J728" s="9"/>
      <c r="K728" s="9"/>
      <c r="L728" s="45"/>
      <c r="M728" s="45"/>
      <c r="N728" s="45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9"/>
      <c r="AF728" s="32"/>
      <c r="AG728" s="46"/>
      <c r="AH728" s="46"/>
      <c r="AI728" s="47"/>
      <c r="AJ728" s="47"/>
      <c r="AK728" s="46"/>
      <c r="AL728" s="9"/>
      <c r="AM728" s="32"/>
      <c r="AN728" s="42"/>
    </row>
    <row r="729" spans="1:40" x14ac:dyDescent="0.2">
      <c r="A729" s="60"/>
      <c r="B729" s="32"/>
      <c r="C729" s="32"/>
      <c r="D729" s="32"/>
      <c r="E729" s="32"/>
      <c r="F729" s="45"/>
      <c r="G729" s="45"/>
      <c r="H729" s="45"/>
      <c r="I729" s="32"/>
      <c r="J729" s="9"/>
      <c r="K729" s="9"/>
      <c r="L729" s="45"/>
      <c r="M729" s="45"/>
      <c r="N729" s="45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9"/>
      <c r="AF729" s="32"/>
      <c r="AG729" s="46"/>
      <c r="AH729" s="46"/>
      <c r="AI729" s="47"/>
      <c r="AJ729" s="47"/>
      <c r="AK729" s="46"/>
      <c r="AL729" s="9"/>
      <c r="AM729" s="32"/>
      <c r="AN729" s="42"/>
    </row>
    <row r="730" spans="1:40" x14ac:dyDescent="0.2">
      <c r="A730" s="60"/>
      <c r="B730" s="32"/>
      <c r="C730" s="32"/>
      <c r="D730" s="32"/>
      <c r="E730" s="32"/>
      <c r="F730" s="45"/>
      <c r="G730" s="45"/>
      <c r="H730" s="45"/>
      <c r="I730" s="32"/>
      <c r="J730" s="9"/>
      <c r="K730" s="9"/>
      <c r="L730" s="45"/>
      <c r="M730" s="45"/>
      <c r="N730" s="45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9"/>
      <c r="AF730" s="32"/>
      <c r="AG730" s="46"/>
      <c r="AH730" s="46"/>
      <c r="AI730" s="47"/>
      <c r="AJ730" s="47"/>
      <c r="AK730" s="46"/>
      <c r="AL730" s="9"/>
      <c r="AM730" s="32"/>
      <c r="AN730" s="42"/>
    </row>
    <row r="731" spans="1:40" x14ac:dyDescent="0.2">
      <c r="A731" s="60"/>
      <c r="B731" s="32"/>
      <c r="C731" s="32"/>
      <c r="D731" s="32"/>
      <c r="E731" s="32"/>
      <c r="F731" s="45"/>
      <c r="G731" s="45"/>
      <c r="H731" s="45"/>
      <c r="I731" s="32"/>
      <c r="J731" s="9"/>
      <c r="K731" s="9"/>
      <c r="L731" s="45"/>
      <c r="M731" s="45"/>
      <c r="N731" s="45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9"/>
      <c r="AF731" s="32"/>
      <c r="AG731" s="46"/>
      <c r="AH731" s="46"/>
      <c r="AI731" s="47"/>
      <c r="AJ731" s="47"/>
      <c r="AK731" s="46"/>
      <c r="AL731" s="9"/>
      <c r="AM731" s="32"/>
      <c r="AN731" s="42"/>
    </row>
    <row r="732" spans="1:40" x14ac:dyDescent="0.2">
      <c r="A732" s="60"/>
      <c r="B732" s="32"/>
      <c r="C732" s="32"/>
      <c r="D732" s="32"/>
      <c r="E732" s="32"/>
      <c r="F732" s="45"/>
      <c r="G732" s="45"/>
      <c r="H732" s="45"/>
      <c r="I732" s="32"/>
      <c r="J732" s="9"/>
      <c r="K732" s="9"/>
      <c r="L732" s="45"/>
      <c r="M732" s="45"/>
      <c r="N732" s="45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9"/>
      <c r="AF732" s="32"/>
      <c r="AG732" s="46"/>
      <c r="AH732" s="46"/>
      <c r="AI732" s="47"/>
      <c r="AJ732" s="47"/>
      <c r="AK732" s="46"/>
      <c r="AL732" s="9"/>
      <c r="AM732" s="32"/>
      <c r="AN732" s="42"/>
    </row>
    <row r="733" spans="1:40" x14ac:dyDescent="0.2">
      <c r="A733" s="60"/>
      <c r="B733" s="32"/>
      <c r="C733" s="32"/>
      <c r="D733" s="32"/>
      <c r="E733" s="32"/>
      <c r="F733" s="45"/>
      <c r="G733" s="45"/>
      <c r="H733" s="45"/>
      <c r="I733" s="32"/>
      <c r="J733" s="9"/>
      <c r="K733" s="9"/>
      <c r="L733" s="45"/>
      <c r="M733" s="45"/>
      <c r="N733" s="45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9"/>
      <c r="AF733" s="32"/>
      <c r="AG733" s="46"/>
      <c r="AH733" s="46"/>
      <c r="AI733" s="47"/>
      <c r="AJ733" s="47"/>
      <c r="AK733" s="46"/>
      <c r="AL733" s="9"/>
      <c r="AM733" s="32"/>
      <c r="AN733" s="42"/>
    </row>
    <row r="734" spans="1:40" x14ac:dyDescent="0.2">
      <c r="A734" s="60"/>
      <c r="B734" s="32"/>
      <c r="C734" s="32"/>
      <c r="D734" s="32"/>
      <c r="E734" s="32"/>
      <c r="F734" s="45"/>
      <c r="G734" s="45"/>
      <c r="H734" s="45"/>
      <c r="I734" s="32"/>
      <c r="J734" s="9"/>
      <c r="K734" s="9"/>
      <c r="L734" s="45"/>
      <c r="M734" s="45"/>
      <c r="N734" s="45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9"/>
      <c r="AF734" s="32"/>
      <c r="AG734" s="46"/>
      <c r="AH734" s="46"/>
      <c r="AI734" s="47"/>
      <c r="AJ734" s="47"/>
      <c r="AK734" s="46"/>
      <c r="AL734" s="9"/>
      <c r="AM734" s="32"/>
      <c r="AN734" s="42"/>
    </row>
    <row r="735" spans="1:40" x14ac:dyDescent="0.2">
      <c r="A735" s="60"/>
      <c r="B735" s="32"/>
      <c r="C735" s="32"/>
      <c r="D735" s="32"/>
      <c r="E735" s="32"/>
      <c r="F735" s="45"/>
      <c r="G735" s="45"/>
      <c r="H735" s="45"/>
      <c r="I735" s="32"/>
      <c r="J735" s="9"/>
      <c r="K735" s="9"/>
      <c r="L735" s="45"/>
      <c r="M735" s="45"/>
      <c r="N735" s="45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9"/>
      <c r="AF735" s="32"/>
      <c r="AG735" s="46"/>
      <c r="AH735" s="46"/>
      <c r="AI735" s="47"/>
      <c r="AJ735" s="47"/>
      <c r="AK735" s="46"/>
      <c r="AL735" s="9"/>
      <c r="AM735" s="32"/>
      <c r="AN735" s="42"/>
    </row>
    <row r="736" spans="1:40" x14ac:dyDescent="0.2">
      <c r="A736" s="60"/>
      <c r="B736" s="32"/>
      <c r="C736" s="32"/>
      <c r="D736" s="32"/>
      <c r="E736" s="32"/>
      <c r="F736" s="45"/>
      <c r="G736" s="45"/>
      <c r="H736" s="45"/>
      <c r="I736" s="32"/>
      <c r="J736" s="9"/>
      <c r="K736" s="9"/>
      <c r="L736" s="45"/>
      <c r="M736" s="45"/>
      <c r="N736" s="45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9"/>
      <c r="AF736" s="32"/>
      <c r="AG736" s="46"/>
      <c r="AH736" s="46"/>
      <c r="AI736" s="47"/>
      <c r="AJ736" s="47"/>
      <c r="AK736" s="46"/>
      <c r="AL736" s="9"/>
      <c r="AM736" s="32"/>
      <c r="AN736" s="42"/>
    </row>
    <row r="737" spans="1:40" x14ac:dyDescent="0.2">
      <c r="A737" s="60"/>
      <c r="B737" s="32"/>
      <c r="C737" s="32"/>
      <c r="D737" s="32"/>
      <c r="E737" s="32"/>
      <c r="F737" s="45"/>
      <c r="G737" s="45"/>
      <c r="H737" s="45"/>
      <c r="I737" s="32"/>
      <c r="J737" s="9"/>
      <c r="K737" s="9"/>
      <c r="L737" s="45"/>
      <c r="M737" s="45"/>
      <c r="N737" s="45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9"/>
      <c r="AF737" s="32"/>
      <c r="AG737" s="46"/>
      <c r="AH737" s="46"/>
      <c r="AI737" s="47"/>
      <c r="AJ737" s="47"/>
      <c r="AK737" s="46"/>
      <c r="AL737" s="9"/>
      <c r="AM737" s="32"/>
      <c r="AN737" s="42"/>
    </row>
    <row r="738" spans="1:40" x14ac:dyDescent="0.2">
      <c r="A738" s="60"/>
      <c r="B738" s="32"/>
      <c r="C738" s="32"/>
      <c r="D738" s="32"/>
      <c r="E738" s="32"/>
      <c r="F738" s="45"/>
      <c r="G738" s="45"/>
      <c r="H738" s="45"/>
      <c r="I738" s="32"/>
      <c r="J738" s="9"/>
      <c r="K738" s="9"/>
      <c r="L738" s="45"/>
      <c r="M738" s="45"/>
      <c r="N738" s="45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9"/>
      <c r="AF738" s="32"/>
      <c r="AG738" s="46"/>
      <c r="AH738" s="46"/>
      <c r="AI738" s="47"/>
      <c r="AJ738" s="47"/>
      <c r="AK738" s="46"/>
      <c r="AL738" s="9"/>
      <c r="AM738" s="32"/>
      <c r="AN738" s="42"/>
    </row>
    <row r="739" spans="1:40" x14ac:dyDescent="0.2">
      <c r="A739" s="60"/>
      <c r="B739" s="32"/>
      <c r="C739" s="32"/>
      <c r="D739" s="32"/>
      <c r="E739" s="32"/>
      <c r="F739" s="45"/>
      <c r="G739" s="45"/>
      <c r="H739" s="45"/>
      <c r="I739" s="32"/>
      <c r="J739" s="9"/>
      <c r="K739" s="9"/>
      <c r="L739" s="45"/>
      <c r="M739" s="45"/>
      <c r="N739" s="45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9"/>
      <c r="AF739" s="32"/>
      <c r="AG739" s="46"/>
      <c r="AH739" s="46"/>
      <c r="AI739" s="47"/>
      <c r="AJ739" s="47"/>
      <c r="AK739" s="46"/>
      <c r="AL739" s="9"/>
      <c r="AM739" s="32"/>
      <c r="AN739" s="42"/>
    </row>
    <row r="740" spans="1:40" x14ac:dyDescent="0.2">
      <c r="A740" s="60"/>
      <c r="B740" s="32"/>
      <c r="C740" s="32"/>
      <c r="D740" s="32"/>
      <c r="E740" s="32"/>
      <c r="F740" s="45"/>
      <c r="G740" s="45"/>
      <c r="H740" s="45"/>
      <c r="I740" s="32"/>
      <c r="J740" s="9"/>
      <c r="K740" s="9"/>
      <c r="L740" s="45"/>
      <c r="M740" s="45"/>
      <c r="N740" s="45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9"/>
      <c r="AF740" s="32"/>
      <c r="AG740" s="46"/>
      <c r="AH740" s="46"/>
      <c r="AI740" s="47"/>
      <c r="AJ740" s="47"/>
      <c r="AK740" s="46"/>
      <c r="AL740" s="9"/>
      <c r="AM740" s="32"/>
      <c r="AN740" s="42"/>
    </row>
    <row r="741" spans="1:40" x14ac:dyDescent="0.2">
      <c r="A741" s="60"/>
      <c r="B741" s="32"/>
      <c r="C741" s="32"/>
      <c r="D741" s="32"/>
      <c r="E741" s="32"/>
      <c r="F741" s="45"/>
      <c r="G741" s="45"/>
      <c r="H741" s="45"/>
      <c r="I741" s="32"/>
      <c r="J741" s="9"/>
      <c r="K741" s="9"/>
      <c r="L741" s="45"/>
      <c r="M741" s="45"/>
      <c r="N741" s="45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9"/>
      <c r="AF741" s="32"/>
      <c r="AG741" s="46"/>
      <c r="AH741" s="46"/>
      <c r="AI741" s="47"/>
      <c r="AJ741" s="47"/>
      <c r="AK741" s="46"/>
      <c r="AL741" s="9"/>
      <c r="AM741" s="32"/>
      <c r="AN741" s="42"/>
    </row>
    <row r="742" spans="1:40" x14ac:dyDescent="0.2">
      <c r="A742" s="60"/>
      <c r="B742" s="32"/>
      <c r="C742" s="32"/>
      <c r="D742" s="32"/>
      <c r="E742" s="32"/>
      <c r="F742" s="45"/>
      <c r="G742" s="45"/>
      <c r="H742" s="45"/>
      <c r="I742" s="32"/>
      <c r="J742" s="9"/>
      <c r="K742" s="9"/>
      <c r="L742" s="45"/>
      <c r="M742" s="45"/>
      <c r="N742" s="45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9"/>
      <c r="AF742" s="32"/>
      <c r="AG742" s="46"/>
      <c r="AH742" s="46"/>
      <c r="AI742" s="47"/>
      <c r="AJ742" s="47"/>
      <c r="AK742" s="46"/>
      <c r="AL742" s="9"/>
      <c r="AM742" s="32"/>
      <c r="AN742" s="42"/>
    </row>
    <row r="743" spans="1:40" x14ac:dyDescent="0.2">
      <c r="A743" s="60"/>
      <c r="B743" s="32"/>
      <c r="C743" s="32"/>
      <c r="D743" s="32"/>
      <c r="E743" s="32"/>
      <c r="F743" s="45"/>
      <c r="G743" s="45"/>
      <c r="H743" s="45"/>
      <c r="I743" s="32"/>
      <c r="J743" s="9"/>
      <c r="K743" s="9"/>
      <c r="L743" s="45"/>
      <c r="M743" s="45"/>
      <c r="N743" s="45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9"/>
      <c r="AF743" s="32"/>
      <c r="AG743" s="46"/>
      <c r="AH743" s="46"/>
      <c r="AI743" s="47"/>
      <c r="AJ743" s="47"/>
      <c r="AK743" s="46"/>
      <c r="AL743" s="9"/>
      <c r="AM743" s="32"/>
      <c r="AN743" s="42"/>
    </row>
    <row r="744" spans="1:40" x14ac:dyDescent="0.2">
      <c r="A744" s="60"/>
      <c r="B744" s="32"/>
      <c r="C744" s="32"/>
      <c r="D744" s="32"/>
      <c r="E744" s="32"/>
      <c r="F744" s="45"/>
      <c r="G744" s="45"/>
      <c r="H744" s="45"/>
      <c r="I744" s="32"/>
      <c r="J744" s="9"/>
      <c r="K744" s="9"/>
      <c r="L744" s="45"/>
      <c r="M744" s="45"/>
      <c r="N744" s="45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9"/>
      <c r="AF744" s="32"/>
      <c r="AG744" s="46"/>
      <c r="AH744" s="46"/>
      <c r="AI744" s="47"/>
      <c r="AJ744" s="47"/>
      <c r="AK744" s="46"/>
      <c r="AL744" s="9"/>
      <c r="AM744" s="32"/>
      <c r="AN744" s="42"/>
    </row>
    <row r="745" spans="1:40" x14ac:dyDescent="0.2">
      <c r="A745" s="60"/>
      <c r="B745" s="32"/>
      <c r="C745" s="32"/>
      <c r="D745" s="32"/>
      <c r="E745" s="32"/>
      <c r="F745" s="45"/>
      <c r="G745" s="45"/>
      <c r="H745" s="45"/>
      <c r="I745" s="32"/>
      <c r="J745" s="9"/>
      <c r="K745" s="9"/>
      <c r="L745" s="45"/>
      <c r="M745" s="45"/>
      <c r="N745" s="45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9"/>
      <c r="AF745" s="32"/>
      <c r="AG745" s="46"/>
      <c r="AH745" s="46"/>
      <c r="AI745" s="47"/>
      <c r="AJ745" s="47"/>
      <c r="AK745" s="46"/>
      <c r="AL745" s="9"/>
      <c r="AM745" s="32"/>
      <c r="AN745" s="42"/>
    </row>
    <row r="746" spans="1:40" x14ac:dyDescent="0.2">
      <c r="A746" s="60"/>
      <c r="B746" s="32"/>
      <c r="C746" s="32"/>
      <c r="D746" s="32"/>
      <c r="E746" s="32"/>
      <c r="F746" s="45"/>
      <c r="G746" s="45"/>
      <c r="H746" s="45"/>
      <c r="I746" s="32"/>
      <c r="J746" s="9"/>
      <c r="K746" s="9"/>
      <c r="L746" s="45"/>
      <c r="M746" s="45"/>
      <c r="N746" s="45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9"/>
      <c r="AF746" s="32"/>
      <c r="AG746" s="46"/>
      <c r="AH746" s="46"/>
      <c r="AI746" s="47"/>
      <c r="AJ746" s="47"/>
      <c r="AK746" s="46"/>
      <c r="AL746" s="9"/>
      <c r="AM746" s="32"/>
      <c r="AN746" s="42"/>
    </row>
    <row r="747" spans="1:40" x14ac:dyDescent="0.2">
      <c r="A747" s="60"/>
      <c r="B747" s="32"/>
      <c r="C747" s="32"/>
      <c r="D747" s="32"/>
      <c r="E747" s="32"/>
      <c r="F747" s="45"/>
      <c r="G747" s="45"/>
      <c r="H747" s="45"/>
      <c r="I747" s="32"/>
      <c r="J747" s="9"/>
      <c r="K747" s="9"/>
      <c r="L747" s="45"/>
      <c r="M747" s="45"/>
      <c r="N747" s="45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9"/>
      <c r="AF747" s="32"/>
      <c r="AG747" s="46"/>
      <c r="AH747" s="46"/>
      <c r="AI747" s="47"/>
      <c r="AJ747" s="47"/>
      <c r="AK747" s="46"/>
      <c r="AL747" s="9"/>
      <c r="AM747" s="32"/>
      <c r="AN747" s="42"/>
    </row>
    <row r="748" spans="1:40" x14ac:dyDescent="0.2">
      <c r="A748" s="60"/>
      <c r="B748" s="32"/>
      <c r="C748" s="32"/>
      <c r="D748" s="32"/>
      <c r="E748" s="32"/>
      <c r="F748" s="45"/>
      <c r="G748" s="45"/>
      <c r="H748" s="45"/>
      <c r="I748" s="32"/>
      <c r="J748" s="9"/>
      <c r="K748" s="9"/>
      <c r="L748" s="45"/>
      <c r="M748" s="45"/>
      <c r="N748" s="45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9"/>
      <c r="AF748" s="32"/>
      <c r="AG748" s="46"/>
      <c r="AH748" s="46"/>
      <c r="AI748" s="47"/>
      <c r="AJ748" s="47"/>
      <c r="AK748" s="46"/>
      <c r="AL748" s="9"/>
      <c r="AM748" s="32"/>
      <c r="AN748" s="42"/>
    </row>
    <row r="749" spans="1:40" x14ac:dyDescent="0.2">
      <c r="A749" s="60"/>
      <c r="B749" s="32"/>
      <c r="C749" s="32"/>
      <c r="D749" s="32"/>
      <c r="E749" s="32"/>
      <c r="F749" s="45"/>
      <c r="G749" s="45"/>
      <c r="H749" s="45"/>
      <c r="I749" s="32"/>
      <c r="J749" s="9"/>
      <c r="K749" s="9"/>
      <c r="L749" s="45"/>
      <c r="M749" s="45"/>
      <c r="N749" s="45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9"/>
      <c r="AF749" s="32"/>
      <c r="AG749" s="46"/>
      <c r="AH749" s="46"/>
      <c r="AI749" s="47"/>
      <c r="AJ749" s="47"/>
      <c r="AK749" s="46"/>
      <c r="AL749" s="9"/>
      <c r="AM749" s="32"/>
      <c r="AN749" s="42"/>
    </row>
    <row r="750" spans="1:40" x14ac:dyDescent="0.2">
      <c r="A750" s="60"/>
      <c r="B750" s="32"/>
      <c r="C750" s="32"/>
      <c r="D750" s="32"/>
      <c r="E750" s="32"/>
      <c r="F750" s="45"/>
      <c r="G750" s="45"/>
      <c r="H750" s="45"/>
      <c r="I750" s="32"/>
      <c r="J750" s="9"/>
      <c r="K750" s="9"/>
      <c r="L750" s="45"/>
      <c r="M750" s="45"/>
      <c r="N750" s="45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9"/>
      <c r="AF750" s="32"/>
      <c r="AG750" s="46"/>
      <c r="AH750" s="46"/>
      <c r="AI750" s="47"/>
      <c r="AJ750" s="47"/>
      <c r="AK750" s="46"/>
      <c r="AL750" s="9"/>
      <c r="AM750" s="32"/>
      <c r="AN750" s="42"/>
    </row>
    <row r="751" spans="1:40" x14ac:dyDescent="0.2">
      <c r="A751" s="60"/>
      <c r="B751" s="32"/>
      <c r="C751" s="32"/>
      <c r="D751" s="32"/>
      <c r="E751" s="32"/>
      <c r="F751" s="45"/>
      <c r="G751" s="45"/>
      <c r="H751" s="45"/>
      <c r="I751" s="32"/>
      <c r="J751" s="9"/>
      <c r="K751" s="9"/>
      <c r="L751" s="45"/>
      <c r="M751" s="45"/>
      <c r="N751" s="45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9"/>
      <c r="AF751" s="32"/>
      <c r="AG751" s="46"/>
      <c r="AH751" s="46"/>
      <c r="AI751" s="47"/>
      <c r="AJ751" s="47"/>
      <c r="AK751" s="46"/>
      <c r="AL751" s="9"/>
      <c r="AM751" s="32"/>
      <c r="AN751" s="42"/>
    </row>
    <row r="752" spans="1:40" x14ac:dyDescent="0.2">
      <c r="A752" s="60"/>
      <c r="B752" s="32"/>
      <c r="C752" s="32"/>
      <c r="D752" s="32"/>
      <c r="E752" s="32"/>
      <c r="F752" s="45"/>
      <c r="G752" s="45"/>
      <c r="H752" s="45"/>
      <c r="I752" s="32"/>
      <c r="J752" s="9"/>
      <c r="K752" s="9"/>
      <c r="L752" s="45"/>
      <c r="M752" s="45"/>
      <c r="N752" s="45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9"/>
      <c r="AF752" s="32"/>
      <c r="AG752" s="46"/>
      <c r="AH752" s="46"/>
      <c r="AI752" s="47"/>
      <c r="AJ752" s="47"/>
      <c r="AK752" s="46"/>
      <c r="AL752" s="9"/>
      <c r="AM752" s="32"/>
      <c r="AN752" s="42"/>
    </row>
    <row r="753" spans="1:40" x14ac:dyDescent="0.2">
      <c r="A753" s="60"/>
      <c r="B753" s="32"/>
      <c r="C753" s="32"/>
      <c r="D753" s="32"/>
      <c r="E753" s="32"/>
      <c r="F753" s="45"/>
      <c r="G753" s="45"/>
      <c r="H753" s="45"/>
      <c r="I753" s="32"/>
      <c r="J753" s="9"/>
      <c r="K753" s="9"/>
      <c r="L753" s="45"/>
      <c r="M753" s="45"/>
      <c r="N753" s="45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9"/>
      <c r="AF753" s="32"/>
      <c r="AG753" s="46"/>
      <c r="AH753" s="46"/>
      <c r="AI753" s="47"/>
      <c r="AJ753" s="47"/>
      <c r="AK753" s="46"/>
      <c r="AL753" s="9"/>
      <c r="AM753" s="32"/>
      <c r="AN753" s="42"/>
    </row>
    <row r="754" spans="1:40" x14ac:dyDescent="0.2">
      <c r="A754" s="60"/>
      <c r="B754" s="32"/>
      <c r="C754" s="32"/>
      <c r="D754" s="32"/>
      <c r="E754" s="32"/>
      <c r="F754" s="45"/>
      <c r="G754" s="45"/>
      <c r="H754" s="45"/>
      <c r="I754" s="32"/>
      <c r="J754" s="9"/>
      <c r="K754" s="9"/>
      <c r="L754" s="45"/>
      <c r="M754" s="45"/>
      <c r="N754" s="45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9"/>
      <c r="AF754" s="32"/>
      <c r="AG754" s="46"/>
      <c r="AH754" s="46"/>
      <c r="AI754" s="47"/>
      <c r="AJ754" s="47"/>
      <c r="AK754" s="46"/>
      <c r="AL754" s="9"/>
      <c r="AM754" s="32"/>
      <c r="AN754" s="42"/>
    </row>
    <row r="755" spans="1:40" x14ac:dyDescent="0.2">
      <c r="A755" s="60"/>
      <c r="B755" s="32"/>
      <c r="C755" s="32"/>
      <c r="D755" s="32"/>
      <c r="E755" s="32"/>
      <c r="F755" s="45"/>
      <c r="G755" s="45"/>
      <c r="H755" s="45"/>
      <c r="I755" s="32"/>
      <c r="J755" s="9"/>
      <c r="K755" s="9"/>
      <c r="L755" s="45"/>
      <c r="M755" s="45"/>
      <c r="N755" s="45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9"/>
      <c r="AF755" s="32"/>
      <c r="AG755" s="46"/>
      <c r="AH755" s="46"/>
      <c r="AI755" s="47"/>
      <c r="AJ755" s="47"/>
      <c r="AK755" s="46"/>
      <c r="AL755" s="9"/>
      <c r="AM755" s="32"/>
      <c r="AN755" s="42"/>
    </row>
    <row r="756" spans="1:40" x14ac:dyDescent="0.2">
      <c r="A756" s="60"/>
      <c r="B756" s="32"/>
      <c r="C756" s="32"/>
      <c r="D756" s="32"/>
      <c r="E756" s="32"/>
      <c r="F756" s="45"/>
      <c r="G756" s="45"/>
      <c r="H756" s="45"/>
      <c r="I756" s="32"/>
      <c r="J756" s="9"/>
      <c r="K756" s="9"/>
      <c r="L756" s="45"/>
      <c r="M756" s="45"/>
      <c r="N756" s="45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9"/>
      <c r="AF756" s="32"/>
      <c r="AG756" s="46"/>
      <c r="AH756" s="46"/>
      <c r="AI756" s="47"/>
      <c r="AJ756" s="47"/>
      <c r="AK756" s="46"/>
      <c r="AL756" s="9"/>
      <c r="AM756" s="32"/>
      <c r="AN756" s="42"/>
    </row>
    <row r="757" spans="1:40" x14ac:dyDescent="0.2">
      <c r="A757" s="60"/>
      <c r="B757" s="32"/>
      <c r="C757" s="32"/>
      <c r="D757" s="32"/>
      <c r="E757" s="32"/>
      <c r="F757" s="45"/>
      <c r="G757" s="45"/>
      <c r="H757" s="45"/>
      <c r="I757" s="32"/>
      <c r="J757" s="9"/>
      <c r="K757" s="9"/>
      <c r="L757" s="45"/>
      <c r="M757" s="45"/>
      <c r="N757" s="45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9"/>
      <c r="AF757" s="32"/>
      <c r="AG757" s="46"/>
      <c r="AH757" s="46"/>
      <c r="AI757" s="47"/>
      <c r="AJ757" s="47"/>
      <c r="AK757" s="46"/>
      <c r="AL757" s="9"/>
      <c r="AM757" s="32"/>
      <c r="AN757" s="42"/>
    </row>
    <row r="758" spans="1:40" x14ac:dyDescent="0.2">
      <c r="A758" s="60"/>
      <c r="B758" s="32"/>
      <c r="C758" s="32"/>
      <c r="D758" s="32"/>
      <c r="E758" s="32"/>
      <c r="F758" s="45"/>
      <c r="G758" s="45"/>
      <c r="H758" s="45"/>
      <c r="I758" s="32"/>
      <c r="J758" s="9"/>
      <c r="K758" s="9"/>
      <c r="L758" s="45"/>
      <c r="M758" s="45"/>
      <c r="N758" s="45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9"/>
      <c r="AF758" s="32"/>
      <c r="AG758" s="46"/>
      <c r="AH758" s="46"/>
      <c r="AI758" s="47"/>
      <c r="AJ758" s="47"/>
      <c r="AK758" s="46"/>
      <c r="AL758" s="9"/>
      <c r="AM758" s="32"/>
      <c r="AN758" s="42"/>
    </row>
    <row r="759" spans="1:40" x14ac:dyDescent="0.2">
      <c r="A759" s="60"/>
      <c r="B759" s="32"/>
      <c r="C759" s="32"/>
      <c r="D759" s="32"/>
      <c r="E759" s="32"/>
      <c r="F759" s="45"/>
      <c r="G759" s="45"/>
      <c r="H759" s="45"/>
      <c r="I759" s="32"/>
      <c r="J759" s="9"/>
      <c r="K759" s="9"/>
      <c r="L759" s="45"/>
      <c r="M759" s="45"/>
      <c r="N759" s="45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9"/>
      <c r="AF759" s="32"/>
      <c r="AG759" s="46"/>
      <c r="AH759" s="46"/>
      <c r="AI759" s="47"/>
      <c r="AJ759" s="47"/>
      <c r="AK759" s="46"/>
      <c r="AL759" s="9"/>
      <c r="AM759" s="32"/>
      <c r="AN759" s="42"/>
    </row>
    <row r="760" spans="1:40" x14ac:dyDescent="0.2">
      <c r="A760" s="60"/>
      <c r="B760" s="32"/>
      <c r="C760" s="32"/>
      <c r="D760" s="32"/>
      <c r="E760" s="32"/>
      <c r="F760" s="45"/>
      <c r="G760" s="45"/>
      <c r="H760" s="45"/>
      <c r="I760" s="32"/>
      <c r="J760" s="9"/>
      <c r="K760" s="9"/>
      <c r="L760" s="45"/>
      <c r="M760" s="45"/>
      <c r="N760" s="45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9"/>
      <c r="AF760" s="32"/>
      <c r="AG760" s="46"/>
      <c r="AH760" s="46"/>
      <c r="AI760" s="47"/>
      <c r="AJ760" s="47"/>
      <c r="AK760" s="46"/>
      <c r="AL760" s="9"/>
      <c r="AM760" s="32"/>
      <c r="AN760" s="42"/>
    </row>
    <row r="761" spans="1:40" x14ac:dyDescent="0.2">
      <c r="A761" s="60"/>
      <c r="B761" s="32"/>
      <c r="C761" s="32"/>
      <c r="D761" s="32"/>
      <c r="E761" s="32"/>
      <c r="F761" s="45"/>
      <c r="G761" s="45"/>
      <c r="H761" s="45"/>
      <c r="I761" s="32"/>
      <c r="J761" s="9"/>
      <c r="K761" s="9"/>
      <c r="L761" s="45"/>
      <c r="M761" s="45"/>
      <c r="N761" s="45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9"/>
      <c r="AF761" s="32"/>
      <c r="AG761" s="46"/>
      <c r="AH761" s="46"/>
      <c r="AI761" s="47"/>
      <c r="AJ761" s="47"/>
      <c r="AK761" s="46"/>
      <c r="AL761" s="9"/>
      <c r="AM761" s="32"/>
      <c r="AN761" s="42"/>
    </row>
    <row r="762" spans="1:40" x14ac:dyDescent="0.2">
      <c r="A762" s="60"/>
      <c r="B762" s="32"/>
      <c r="C762" s="32"/>
      <c r="D762" s="32"/>
      <c r="E762" s="32"/>
      <c r="F762" s="45"/>
      <c r="G762" s="45"/>
      <c r="H762" s="45"/>
      <c r="I762" s="32"/>
      <c r="J762" s="9"/>
      <c r="K762" s="9"/>
      <c r="L762" s="45"/>
      <c r="M762" s="45"/>
      <c r="N762" s="45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9"/>
      <c r="AF762" s="32"/>
      <c r="AG762" s="46"/>
      <c r="AH762" s="46"/>
      <c r="AI762" s="47"/>
      <c r="AJ762" s="47"/>
      <c r="AK762" s="46"/>
      <c r="AL762" s="9"/>
      <c r="AM762" s="32"/>
      <c r="AN762" s="42"/>
    </row>
    <row r="763" spans="1:40" x14ac:dyDescent="0.2">
      <c r="A763" s="60"/>
      <c r="B763" s="32"/>
      <c r="C763" s="32"/>
      <c r="D763" s="32"/>
      <c r="E763" s="32"/>
      <c r="F763" s="45"/>
      <c r="G763" s="45"/>
      <c r="H763" s="45"/>
      <c r="I763" s="32"/>
      <c r="J763" s="9"/>
      <c r="K763" s="9"/>
      <c r="L763" s="45"/>
      <c r="M763" s="45"/>
      <c r="N763" s="45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9"/>
      <c r="AF763" s="32"/>
      <c r="AG763" s="46"/>
      <c r="AH763" s="46"/>
      <c r="AI763" s="47"/>
      <c r="AJ763" s="47"/>
      <c r="AK763" s="46"/>
      <c r="AL763" s="9"/>
      <c r="AM763" s="32"/>
      <c r="AN763" s="42"/>
    </row>
    <row r="764" spans="1:40" x14ac:dyDescent="0.2">
      <c r="A764" s="60"/>
      <c r="B764" s="32"/>
      <c r="C764" s="32"/>
      <c r="D764" s="32"/>
      <c r="E764" s="32"/>
      <c r="F764" s="45"/>
      <c r="G764" s="45"/>
      <c r="H764" s="45"/>
      <c r="I764" s="32"/>
      <c r="J764" s="9"/>
      <c r="K764" s="9"/>
      <c r="L764" s="45"/>
      <c r="M764" s="45"/>
      <c r="N764" s="45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9"/>
      <c r="AF764" s="32"/>
      <c r="AG764" s="46"/>
      <c r="AH764" s="46"/>
      <c r="AI764" s="47"/>
      <c r="AJ764" s="47"/>
      <c r="AK764" s="46"/>
      <c r="AL764" s="9"/>
      <c r="AM764" s="32"/>
      <c r="AN764" s="42"/>
    </row>
    <row r="765" spans="1:40" x14ac:dyDescent="0.2">
      <c r="A765" s="60"/>
      <c r="B765" s="32"/>
      <c r="C765" s="32"/>
      <c r="D765" s="32"/>
      <c r="E765" s="32"/>
      <c r="F765" s="45"/>
      <c r="G765" s="45"/>
      <c r="H765" s="45"/>
      <c r="I765" s="32"/>
      <c r="J765" s="9"/>
      <c r="K765" s="9"/>
      <c r="L765" s="45"/>
      <c r="M765" s="45"/>
      <c r="N765" s="45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9"/>
      <c r="AF765" s="32"/>
      <c r="AG765" s="46"/>
      <c r="AH765" s="46"/>
      <c r="AI765" s="47"/>
      <c r="AJ765" s="47"/>
      <c r="AK765" s="46"/>
      <c r="AL765" s="9"/>
      <c r="AM765" s="32"/>
      <c r="AN765" s="42"/>
    </row>
    <row r="766" spans="1:40" x14ac:dyDescent="0.2">
      <c r="A766" s="60"/>
      <c r="B766" s="32"/>
      <c r="C766" s="32"/>
      <c r="D766" s="32"/>
      <c r="E766" s="32"/>
      <c r="F766" s="45"/>
      <c r="G766" s="45"/>
      <c r="H766" s="45"/>
      <c r="I766" s="32"/>
      <c r="J766" s="9"/>
      <c r="K766" s="9"/>
      <c r="L766" s="45"/>
      <c r="M766" s="45"/>
      <c r="N766" s="45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9"/>
      <c r="AF766" s="32"/>
      <c r="AG766" s="46"/>
      <c r="AH766" s="46"/>
      <c r="AI766" s="47"/>
      <c r="AJ766" s="47"/>
      <c r="AK766" s="46"/>
      <c r="AL766" s="9"/>
      <c r="AM766" s="32"/>
      <c r="AN766" s="42"/>
    </row>
    <row r="767" spans="1:40" x14ac:dyDescent="0.2">
      <c r="A767" s="60"/>
      <c r="B767" s="32"/>
      <c r="C767" s="32"/>
      <c r="D767" s="32"/>
      <c r="E767" s="32"/>
      <c r="F767" s="45"/>
      <c r="G767" s="45"/>
      <c r="H767" s="45"/>
      <c r="I767" s="32"/>
      <c r="J767" s="9"/>
      <c r="K767" s="9"/>
      <c r="L767" s="45"/>
      <c r="M767" s="45"/>
      <c r="N767" s="45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9"/>
      <c r="AF767" s="32"/>
      <c r="AG767" s="46"/>
      <c r="AH767" s="46"/>
      <c r="AI767" s="47"/>
      <c r="AJ767" s="47"/>
      <c r="AK767" s="46"/>
      <c r="AL767" s="9"/>
      <c r="AM767" s="32"/>
      <c r="AN767" s="42"/>
    </row>
    <row r="768" spans="1:40" x14ac:dyDescent="0.2">
      <c r="A768" s="60"/>
      <c r="B768" s="32"/>
      <c r="C768" s="32"/>
      <c r="D768" s="32"/>
      <c r="E768" s="32"/>
      <c r="F768" s="45"/>
      <c r="G768" s="45"/>
      <c r="H768" s="45"/>
      <c r="I768" s="32"/>
      <c r="J768" s="9"/>
      <c r="K768" s="9"/>
      <c r="L768" s="45"/>
      <c r="M768" s="45"/>
      <c r="N768" s="45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9"/>
      <c r="AF768" s="32"/>
      <c r="AG768" s="46"/>
      <c r="AH768" s="46"/>
      <c r="AI768" s="47"/>
      <c r="AJ768" s="47"/>
      <c r="AK768" s="46"/>
      <c r="AL768" s="9"/>
      <c r="AM768" s="32"/>
      <c r="AN768" s="42"/>
    </row>
    <row r="769" spans="1:40" x14ac:dyDescent="0.2">
      <c r="A769" s="60"/>
      <c r="B769" s="32"/>
      <c r="C769" s="32"/>
      <c r="D769" s="32"/>
      <c r="E769" s="32"/>
      <c r="F769" s="45"/>
      <c r="G769" s="45"/>
      <c r="H769" s="45"/>
      <c r="I769" s="32"/>
      <c r="J769" s="9"/>
      <c r="K769" s="9"/>
      <c r="L769" s="45"/>
      <c r="M769" s="45"/>
      <c r="N769" s="45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9"/>
      <c r="AF769" s="32"/>
      <c r="AG769" s="46"/>
      <c r="AH769" s="46"/>
      <c r="AI769" s="47"/>
      <c r="AJ769" s="47"/>
      <c r="AK769" s="46"/>
      <c r="AL769" s="9"/>
      <c r="AM769" s="32"/>
      <c r="AN769" s="42"/>
    </row>
    <row r="770" spans="1:40" x14ac:dyDescent="0.2">
      <c r="A770" s="60"/>
      <c r="B770" s="32"/>
      <c r="C770" s="32"/>
      <c r="D770" s="32"/>
      <c r="E770" s="32"/>
      <c r="F770" s="45"/>
      <c r="G770" s="45"/>
      <c r="H770" s="45"/>
      <c r="I770" s="32"/>
      <c r="J770" s="9"/>
      <c r="K770" s="9"/>
      <c r="L770" s="45"/>
      <c r="M770" s="45"/>
      <c r="N770" s="45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9"/>
      <c r="AF770" s="32"/>
      <c r="AG770" s="46"/>
      <c r="AH770" s="46"/>
      <c r="AI770" s="47"/>
      <c r="AJ770" s="47"/>
      <c r="AK770" s="46"/>
      <c r="AL770" s="9"/>
      <c r="AM770" s="32"/>
      <c r="AN770" s="42"/>
    </row>
    <row r="771" spans="1:40" x14ac:dyDescent="0.2">
      <c r="A771" s="60"/>
      <c r="B771" s="32"/>
      <c r="C771" s="32"/>
      <c r="D771" s="32"/>
      <c r="E771" s="32"/>
      <c r="F771" s="45"/>
      <c r="G771" s="45"/>
      <c r="H771" s="45"/>
      <c r="I771" s="32"/>
      <c r="J771" s="9"/>
      <c r="K771" s="9"/>
      <c r="L771" s="45"/>
      <c r="M771" s="45"/>
      <c r="N771" s="45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9"/>
      <c r="AF771" s="32"/>
      <c r="AG771" s="46"/>
      <c r="AH771" s="46"/>
      <c r="AI771" s="47"/>
      <c r="AJ771" s="47"/>
      <c r="AK771" s="46"/>
      <c r="AL771" s="9"/>
      <c r="AM771" s="32"/>
      <c r="AN771" s="42"/>
    </row>
    <row r="772" spans="1:40" x14ac:dyDescent="0.2">
      <c r="A772" s="60"/>
      <c r="B772" s="32"/>
      <c r="C772" s="32"/>
      <c r="D772" s="32"/>
      <c r="E772" s="32"/>
      <c r="F772" s="45"/>
      <c r="G772" s="45"/>
      <c r="H772" s="45"/>
      <c r="I772" s="32"/>
      <c r="J772" s="9"/>
      <c r="K772" s="9"/>
      <c r="L772" s="45"/>
      <c r="M772" s="45"/>
      <c r="N772" s="45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9"/>
      <c r="AF772" s="32"/>
      <c r="AG772" s="46"/>
      <c r="AH772" s="46"/>
      <c r="AI772" s="47"/>
      <c r="AJ772" s="47"/>
      <c r="AK772" s="46"/>
      <c r="AL772" s="9"/>
      <c r="AM772" s="32"/>
      <c r="AN772" s="42"/>
    </row>
    <row r="773" spans="1:40" x14ac:dyDescent="0.2">
      <c r="A773" s="60"/>
      <c r="B773" s="32"/>
      <c r="C773" s="32"/>
      <c r="D773" s="32"/>
      <c r="E773" s="32"/>
      <c r="F773" s="45"/>
      <c r="G773" s="45"/>
      <c r="H773" s="45"/>
      <c r="I773" s="32"/>
      <c r="J773" s="9"/>
      <c r="K773" s="9"/>
      <c r="L773" s="45"/>
      <c r="M773" s="45"/>
      <c r="N773" s="45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9"/>
      <c r="AF773" s="32"/>
      <c r="AG773" s="46"/>
      <c r="AH773" s="46"/>
      <c r="AI773" s="47"/>
      <c r="AJ773" s="47"/>
      <c r="AK773" s="46"/>
      <c r="AL773" s="9"/>
      <c r="AM773" s="32"/>
      <c r="AN773" s="42"/>
    </row>
    <row r="774" spans="1:40" x14ac:dyDescent="0.2">
      <c r="A774" s="60"/>
      <c r="B774" s="32"/>
      <c r="C774" s="32"/>
      <c r="D774" s="32"/>
      <c r="E774" s="32"/>
      <c r="F774" s="45"/>
      <c r="G774" s="45"/>
      <c r="H774" s="45"/>
      <c r="I774" s="32"/>
      <c r="J774" s="9"/>
      <c r="K774" s="9"/>
      <c r="L774" s="45"/>
      <c r="M774" s="45"/>
      <c r="N774" s="45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9"/>
      <c r="AF774" s="32"/>
      <c r="AG774" s="46"/>
      <c r="AH774" s="46"/>
      <c r="AI774" s="47"/>
      <c r="AJ774" s="47"/>
      <c r="AK774" s="46"/>
      <c r="AL774" s="9"/>
      <c r="AM774" s="32"/>
      <c r="AN774" s="42"/>
    </row>
    <row r="775" spans="1:40" x14ac:dyDescent="0.2">
      <c r="A775" s="60"/>
      <c r="B775" s="32"/>
      <c r="C775" s="32"/>
      <c r="D775" s="32"/>
      <c r="E775" s="32"/>
      <c r="F775" s="45"/>
      <c r="G775" s="45"/>
      <c r="H775" s="45"/>
      <c r="I775" s="32"/>
      <c r="J775" s="9"/>
      <c r="K775" s="9"/>
      <c r="L775" s="45"/>
      <c r="M775" s="45"/>
      <c r="N775" s="45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9"/>
      <c r="AF775" s="32"/>
      <c r="AG775" s="46"/>
      <c r="AH775" s="46"/>
      <c r="AI775" s="47"/>
      <c r="AJ775" s="47"/>
      <c r="AK775" s="46"/>
      <c r="AL775" s="9"/>
      <c r="AM775" s="32"/>
      <c r="AN775" s="42"/>
    </row>
    <row r="776" spans="1:40" x14ac:dyDescent="0.2">
      <c r="A776" s="60"/>
      <c r="B776" s="32"/>
      <c r="C776" s="32"/>
      <c r="D776" s="32"/>
      <c r="E776" s="32"/>
      <c r="F776" s="45"/>
      <c r="G776" s="45"/>
      <c r="H776" s="45"/>
      <c r="I776" s="32"/>
      <c r="J776" s="9"/>
      <c r="K776" s="9"/>
      <c r="L776" s="45"/>
      <c r="M776" s="45"/>
      <c r="N776" s="45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9"/>
      <c r="AF776" s="32"/>
      <c r="AG776" s="46"/>
      <c r="AH776" s="46"/>
      <c r="AI776" s="47"/>
      <c r="AJ776" s="47"/>
      <c r="AK776" s="46"/>
      <c r="AL776" s="9"/>
      <c r="AM776" s="32"/>
      <c r="AN776" s="42"/>
    </row>
    <row r="777" spans="1:40" x14ac:dyDescent="0.2">
      <c r="A777" s="60"/>
      <c r="B777" s="32"/>
      <c r="C777" s="32"/>
      <c r="D777" s="32"/>
      <c r="E777" s="32"/>
      <c r="F777" s="45"/>
      <c r="G777" s="45"/>
      <c r="H777" s="45"/>
      <c r="I777" s="32"/>
      <c r="J777" s="9"/>
      <c r="K777" s="9"/>
      <c r="L777" s="45"/>
      <c r="M777" s="45"/>
      <c r="N777" s="45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9"/>
      <c r="AF777" s="32"/>
      <c r="AG777" s="46"/>
      <c r="AH777" s="46"/>
      <c r="AI777" s="47"/>
      <c r="AJ777" s="47"/>
      <c r="AK777" s="46"/>
      <c r="AL777" s="9"/>
      <c r="AM777" s="32"/>
      <c r="AN777" s="42"/>
    </row>
    <row r="778" spans="1:40" x14ac:dyDescent="0.2">
      <c r="A778" s="60"/>
      <c r="B778" s="32"/>
      <c r="C778" s="32"/>
      <c r="D778" s="32"/>
      <c r="E778" s="32"/>
      <c r="F778" s="45"/>
      <c r="G778" s="45"/>
      <c r="H778" s="45"/>
      <c r="I778" s="32"/>
      <c r="J778" s="9"/>
      <c r="K778" s="9"/>
      <c r="L778" s="45"/>
      <c r="M778" s="45"/>
      <c r="N778" s="45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9"/>
      <c r="AF778" s="32"/>
      <c r="AG778" s="46"/>
      <c r="AH778" s="46"/>
      <c r="AI778" s="47"/>
      <c r="AJ778" s="47"/>
      <c r="AK778" s="46"/>
      <c r="AL778" s="9"/>
      <c r="AM778" s="32"/>
      <c r="AN778" s="42"/>
    </row>
    <row r="779" spans="1:40" x14ac:dyDescent="0.2">
      <c r="A779" s="60"/>
      <c r="B779" s="32"/>
      <c r="C779" s="32"/>
      <c r="D779" s="32"/>
      <c r="E779" s="32"/>
      <c r="F779" s="45"/>
      <c r="G779" s="45"/>
      <c r="H779" s="45"/>
      <c r="I779" s="32"/>
      <c r="J779" s="9"/>
      <c r="K779" s="9"/>
      <c r="L779" s="45"/>
      <c r="M779" s="45"/>
      <c r="N779" s="45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9"/>
      <c r="AF779" s="32"/>
      <c r="AG779" s="46"/>
      <c r="AH779" s="46"/>
      <c r="AI779" s="47"/>
      <c r="AJ779" s="47"/>
      <c r="AK779" s="46"/>
      <c r="AL779" s="9"/>
      <c r="AM779" s="32"/>
      <c r="AN779" s="42"/>
    </row>
    <row r="780" spans="1:40" x14ac:dyDescent="0.2">
      <c r="A780" s="60"/>
      <c r="B780" s="32"/>
      <c r="C780" s="32"/>
      <c r="D780" s="32"/>
      <c r="E780" s="32"/>
      <c r="F780" s="45"/>
      <c r="G780" s="45"/>
      <c r="H780" s="45"/>
      <c r="I780" s="32"/>
      <c r="J780" s="9"/>
      <c r="K780" s="9"/>
      <c r="L780" s="45"/>
      <c r="M780" s="45"/>
      <c r="N780" s="45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9"/>
      <c r="AF780" s="32"/>
      <c r="AG780" s="46"/>
      <c r="AH780" s="46"/>
      <c r="AI780" s="47"/>
      <c r="AJ780" s="47"/>
      <c r="AK780" s="46"/>
      <c r="AL780" s="9"/>
      <c r="AM780" s="32"/>
      <c r="AN780" s="42"/>
    </row>
    <row r="781" spans="1:40" x14ac:dyDescent="0.2">
      <c r="A781" s="60"/>
      <c r="B781" s="32"/>
      <c r="C781" s="32"/>
      <c r="D781" s="32"/>
      <c r="E781" s="32"/>
      <c r="F781" s="45"/>
      <c r="G781" s="45"/>
      <c r="H781" s="45"/>
      <c r="I781" s="32"/>
      <c r="J781" s="9"/>
      <c r="K781" s="9"/>
      <c r="L781" s="45"/>
      <c r="M781" s="45"/>
      <c r="N781" s="45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9"/>
      <c r="AF781" s="32"/>
      <c r="AG781" s="46"/>
      <c r="AH781" s="46"/>
      <c r="AI781" s="47"/>
      <c r="AJ781" s="47"/>
      <c r="AK781" s="46"/>
      <c r="AL781" s="9"/>
      <c r="AM781" s="32"/>
      <c r="AN781" s="42"/>
    </row>
    <row r="782" spans="1:40" x14ac:dyDescent="0.2">
      <c r="A782" s="60"/>
      <c r="B782" s="32"/>
      <c r="C782" s="32"/>
      <c r="D782" s="32"/>
      <c r="E782" s="32"/>
      <c r="F782" s="45"/>
      <c r="G782" s="45"/>
      <c r="H782" s="45"/>
      <c r="I782" s="32"/>
      <c r="J782" s="9"/>
      <c r="K782" s="9"/>
      <c r="L782" s="45"/>
      <c r="M782" s="45"/>
      <c r="N782" s="45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9"/>
      <c r="AF782" s="32"/>
      <c r="AG782" s="46"/>
      <c r="AH782" s="46"/>
      <c r="AI782" s="47"/>
      <c r="AJ782" s="47"/>
      <c r="AK782" s="46"/>
      <c r="AL782" s="9"/>
      <c r="AM782" s="32"/>
      <c r="AN782" s="42"/>
    </row>
    <row r="783" spans="1:40" x14ac:dyDescent="0.2">
      <c r="A783" s="60"/>
      <c r="B783" s="32"/>
      <c r="C783" s="32"/>
      <c r="D783" s="32"/>
      <c r="E783" s="32"/>
      <c r="F783" s="45"/>
      <c r="G783" s="45"/>
      <c r="H783" s="45"/>
      <c r="I783" s="32"/>
      <c r="J783" s="9"/>
      <c r="K783" s="9"/>
      <c r="L783" s="45"/>
      <c r="M783" s="45"/>
      <c r="N783" s="45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9"/>
      <c r="AF783" s="32"/>
      <c r="AG783" s="46"/>
      <c r="AH783" s="46"/>
      <c r="AI783" s="47"/>
      <c r="AJ783" s="47"/>
      <c r="AK783" s="46"/>
      <c r="AL783" s="9"/>
      <c r="AM783" s="32"/>
      <c r="AN783" s="42"/>
    </row>
    <row r="784" spans="1:40" x14ac:dyDescent="0.2">
      <c r="A784" s="60"/>
      <c r="B784" s="32"/>
      <c r="C784" s="32"/>
      <c r="D784" s="32"/>
      <c r="E784" s="32"/>
      <c r="F784" s="45"/>
      <c r="G784" s="45"/>
      <c r="H784" s="45"/>
      <c r="I784" s="32"/>
      <c r="J784" s="9"/>
      <c r="K784" s="9"/>
      <c r="L784" s="45"/>
      <c r="M784" s="45"/>
      <c r="N784" s="45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9"/>
      <c r="AF784" s="32"/>
      <c r="AG784" s="46"/>
      <c r="AH784" s="46"/>
      <c r="AI784" s="47"/>
      <c r="AJ784" s="47"/>
      <c r="AK784" s="46"/>
      <c r="AL784" s="9"/>
      <c r="AM784" s="32"/>
      <c r="AN784" s="42"/>
    </row>
    <row r="785" spans="1:40" x14ac:dyDescent="0.2">
      <c r="A785" s="60"/>
      <c r="B785" s="32"/>
      <c r="C785" s="32"/>
      <c r="D785" s="32"/>
      <c r="E785" s="32"/>
      <c r="F785" s="45"/>
      <c r="G785" s="45"/>
      <c r="H785" s="45"/>
      <c r="I785" s="32"/>
      <c r="J785" s="9"/>
      <c r="K785" s="9"/>
      <c r="L785" s="45"/>
      <c r="M785" s="45"/>
      <c r="N785" s="45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9"/>
      <c r="AF785" s="32"/>
      <c r="AG785" s="46"/>
      <c r="AH785" s="46"/>
      <c r="AI785" s="47"/>
      <c r="AJ785" s="47"/>
      <c r="AK785" s="46"/>
      <c r="AL785" s="9"/>
      <c r="AM785" s="32"/>
      <c r="AN785" s="42"/>
    </row>
    <row r="786" spans="1:40" x14ac:dyDescent="0.2">
      <c r="A786" s="60"/>
      <c r="B786" s="32"/>
      <c r="C786" s="32"/>
      <c r="D786" s="32"/>
      <c r="E786" s="32"/>
      <c r="F786" s="45"/>
      <c r="G786" s="45"/>
      <c r="H786" s="45"/>
      <c r="I786" s="32"/>
      <c r="J786" s="9"/>
      <c r="K786" s="9"/>
      <c r="L786" s="45"/>
      <c r="M786" s="45"/>
      <c r="N786" s="45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9"/>
      <c r="AF786" s="32"/>
      <c r="AG786" s="46"/>
      <c r="AH786" s="46"/>
      <c r="AI786" s="47"/>
      <c r="AJ786" s="47"/>
      <c r="AK786" s="46"/>
      <c r="AL786" s="9"/>
      <c r="AM786" s="32"/>
      <c r="AN786" s="42"/>
    </row>
    <row r="787" spans="1:40" x14ac:dyDescent="0.2">
      <c r="A787" s="60"/>
      <c r="B787" s="32"/>
      <c r="C787" s="32"/>
      <c r="D787" s="32"/>
      <c r="E787" s="32"/>
      <c r="F787" s="45"/>
      <c r="G787" s="45"/>
      <c r="H787" s="45"/>
      <c r="I787" s="32"/>
      <c r="J787" s="9"/>
      <c r="K787" s="9"/>
      <c r="L787" s="45"/>
      <c r="M787" s="45"/>
      <c r="N787" s="45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9"/>
      <c r="AF787" s="32"/>
      <c r="AG787" s="46"/>
      <c r="AH787" s="46"/>
      <c r="AI787" s="47"/>
      <c r="AJ787" s="47"/>
      <c r="AK787" s="46"/>
      <c r="AL787" s="9"/>
      <c r="AM787" s="32"/>
      <c r="AN787" s="42"/>
    </row>
    <row r="788" spans="1:40" x14ac:dyDescent="0.2">
      <c r="A788" s="60"/>
      <c r="B788" s="32"/>
      <c r="C788" s="32"/>
      <c r="D788" s="32"/>
      <c r="E788" s="32"/>
      <c r="F788" s="45"/>
      <c r="G788" s="45"/>
      <c r="H788" s="45"/>
      <c r="I788" s="32"/>
      <c r="J788" s="9"/>
      <c r="K788" s="9"/>
      <c r="L788" s="45"/>
      <c r="M788" s="45"/>
      <c r="N788" s="45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9"/>
      <c r="AF788" s="32"/>
      <c r="AG788" s="46"/>
      <c r="AH788" s="46"/>
      <c r="AI788" s="47"/>
      <c r="AJ788" s="47"/>
      <c r="AK788" s="46"/>
      <c r="AL788" s="9"/>
      <c r="AM788" s="32"/>
      <c r="AN788" s="42"/>
    </row>
    <row r="789" spans="1:40" x14ac:dyDescent="0.2">
      <c r="A789" s="60"/>
      <c r="B789" s="32"/>
      <c r="C789" s="32"/>
      <c r="D789" s="32"/>
      <c r="E789" s="32"/>
      <c r="F789" s="45"/>
      <c r="G789" s="45"/>
      <c r="H789" s="45"/>
      <c r="I789" s="32"/>
      <c r="J789" s="9"/>
      <c r="K789" s="9"/>
      <c r="L789" s="45"/>
      <c r="M789" s="45"/>
      <c r="N789" s="45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9"/>
      <c r="AF789" s="32"/>
      <c r="AG789" s="46"/>
      <c r="AH789" s="46"/>
      <c r="AI789" s="47"/>
      <c r="AJ789" s="47"/>
      <c r="AK789" s="46"/>
      <c r="AL789" s="9"/>
      <c r="AM789" s="32"/>
      <c r="AN789" s="42"/>
    </row>
    <row r="790" spans="1:40" x14ac:dyDescent="0.2">
      <c r="A790" s="60"/>
      <c r="B790" s="32"/>
      <c r="C790" s="32"/>
      <c r="D790" s="32"/>
      <c r="E790" s="32"/>
      <c r="F790" s="45"/>
      <c r="G790" s="45"/>
      <c r="H790" s="45"/>
      <c r="I790" s="32"/>
      <c r="J790" s="9"/>
      <c r="K790" s="9"/>
      <c r="L790" s="45"/>
      <c r="M790" s="45"/>
      <c r="N790" s="45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9"/>
      <c r="AF790" s="32"/>
      <c r="AG790" s="46"/>
      <c r="AH790" s="46"/>
      <c r="AI790" s="47"/>
      <c r="AJ790" s="47"/>
      <c r="AK790" s="46"/>
      <c r="AL790" s="9"/>
      <c r="AM790" s="32"/>
      <c r="AN790" s="42"/>
    </row>
    <row r="791" spans="1:40" x14ac:dyDescent="0.2">
      <c r="A791" s="60"/>
      <c r="B791" s="32"/>
      <c r="C791" s="32"/>
      <c r="D791" s="32"/>
      <c r="E791" s="32"/>
      <c r="F791" s="45"/>
      <c r="G791" s="45"/>
      <c r="H791" s="45"/>
      <c r="I791" s="32"/>
      <c r="J791" s="9"/>
      <c r="K791" s="9"/>
      <c r="L791" s="45"/>
      <c r="M791" s="45"/>
      <c r="N791" s="45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9"/>
      <c r="AF791" s="32"/>
      <c r="AG791" s="46"/>
      <c r="AH791" s="46"/>
      <c r="AI791" s="47"/>
      <c r="AJ791" s="47"/>
      <c r="AK791" s="46"/>
      <c r="AL791" s="9"/>
      <c r="AM791" s="32"/>
      <c r="AN791" s="42"/>
    </row>
    <row r="792" spans="1:40" x14ac:dyDescent="0.2">
      <c r="A792" s="60"/>
      <c r="B792" s="32"/>
      <c r="C792" s="32"/>
      <c r="D792" s="32"/>
      <c r="E792" s="32"/>
      <c r="F792" s="45"/>
      <c r="G792" s="45"/>
      <c r="H792" s="45"/>
      <c r="I792" s="32"/>
      <c r="J792" s="9"/>
      <c r="K792" s="9"/>
      <c r="L792" s="45"/>
      <c r="M792" s="45"/>
      <c r="N792" s="45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9"/>
      <c r="AF792" s="32"/>
      <c r="AG792" s="46"/>
      <c r="AH792" s="46"/>
      <c r="AI792" s="47"/>
      <c r="AJ792" s="47"/>
      <c r="AK792" s="46"/>
      <c r="AL792" s="9"/>
      <c r="AM792" s="32"/>
      <c r="AN792" s="42"/>
    </row>
    <row r="793" spans="1:40" x14ac:dyDescent="0.2">
      <c r="A793" s="60"/>
      <c r="B793" s="32"/>
      <c r="C793" s="32"/>
      <c r="D793" s="32"/>
      <c r="E793" s="32"/>
      <c r="F793" s="45"/>
      <c r="G793" s="45"/>
      <c r="H793" s="45"/>
      <c r="I793" s="32"/>
      <c r="J793" s="9"/>
      <c r="K793" s="9"/>
      <c r="L793" s="45"/>
      <c r="M793" s="45"/>
      <c r="N793" s="45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9"/>
      <c r="AF793" s="32"/>
      <c r="AG793" s="46"/>
      <c r="AH793" s="46"/>
      <c r="AI793" s="47"/>
      <c r="AJ793" s="47"/>
      <c r="AK793" s="46"/>
      <c r="AL793" s="9"/>
      <c r="AM793" s="32"/>
      <c r="AN793" s="42"/>
    </row>
    <row r="794" spans="1:40" x14ac:dyDescent="0.2">
      <c r="A794" s="60"/>
      <c r="B794" s="32"/>
      <c r="C794" s="32"/>
      <c r="D794" s="32"/>
      <c r="E794" s="32"/>
      <c r="F794" s="45"/>
      <c r="G794" s="45"/>
      <c r="H794" s="45"/>
      <c r="I794" s="32"/>
      <c r="J794" s="9"/>
      <c r="K794" s="9"/>
      <c r="L794" s="45"/>
      <c r="M794" s="45"/>
      <c r="N794" s="45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9"/>
      <c r="AF794" s="32"/>
      <c r="AG794" s="46"/>
      <c r="AH794" s="46"/>
      <c r="AI794" s="47"/>
      <c r="AJ794" s="47"/>
      <c r="AK794" s="46"/>
      <c r="AL794" s="9"/>
      <c r="AM794" s="32"/>
      <c r="AN794" s="42"/>
    </row>
    <row r="795" spans="1:40" x14ac:dyDescent="0.2">
      <c r="A795" s="60"/>
      <c r="B795" s="32"/>
      <c r="C795" s="32"/>
      <c r="D795" s="32"/>
      <c r="E795" s="32"/>
      <c r="F795" s="45"/>
      <c r="G795" s="45"/>
      <c r="H795" s="45"/>
      <c r="I795" s="32"/>
      <c r="J795" s="9"/>
      <c r="K795" s="9"/>
      <c r="L795" s="45"/>
      <c r="M795" s="45"/>
      <c r="N795" s="45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9"/>
      <c r="AF795" s="32"/>
      <c r="AG795" s="46"/>
      <c r="AH795" s="46"/>
      <c r="AI795" s="47"/>
      <c r="AJ795" s="47"/>
      <c r="AK795" s="46"/>
      <c r="AL795" s="9"/>
      <c r="AM795" s="32"/>
      <c r="AN795" s="42"/>
    </row>
    <row r="796" spans="1:40" x14ac:dyDescent="0.2">
      <c r="A796" s="60"/>
      <c r="B796" s="32"/>
      <c r="C796" s="32"/>
      <c r="D796" s="32"/>
      <c r="E796" s="32"/>
      <c r="F796" s="45"/>
      <c r="G796" s="45"/>
      <c r="H796" s="45"/>
      <c r="I796" s="32"/>
      <c r="J796" s="9"/>
      <c r="K796" s="9"/>
      <c r="L796" s="45"/>
      <c r="M796" s="45"/>
      <c r="N796" s="45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9"/>
      <c r="AF796" s="32"/>
      <c r="AG796" s="46"/>
      <c r="AH796" s="46"/>
      <c r="AI796" s="47"/>
      <c r="AJ796" s="47"/>
      <c r="AK796" s="46"/>
      <c r="AL796" s="9"/>
      <c r="AM796" s="32"/>
      <c r="AN796" s="42"/>
    </row>
    <row r="797" spans="1:40" x14ac:dyDescent="0.2">
      <c r="A797" s="60"/>
      <c r="B797" s="32"/>
      <c r="C797" s="32"/>
      <c r="D797" s="32"/>
      <c r="E797" s="32"/>
      <c r="F797" s="45"/>
      <c r="G797" s="45"/>
      <c r="H797" s="45"/>
      <c r="I797" s="32"/>
      <c r="J797" s="9"/>
      <c r="K797" s="9"/>
      <c r="L797" s="45"/>
      <c r="M797" s="45"/>
      <c r="N797" s="45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9"/>
      <c r="AF797" s="32"/>
      <c r="AG797" s="46"/>
      <c r="AH797" s="46"/>
      <c r="AI797" s="47"/>
      <c r="AJ797" s="47"/>
      <c r="AK797" s="46"/>
      <c r="AL797" s="9"/>
      <c r="AM797" s="32"/>
      <c r="AN797" s="42"/>
    </row>
    <row r="798" spans="1:40" x14ac:dyDescent="0.2">
      <c r="A798" s="60"/>
      <c r="B798" s="32"/>
      <c r="C798" s="32"/>
      <c r="D798" s="32"/>
      <c r="E798" s="32"/>
      <c r="F798" s="45"/>
      <c r="G798" s="45"/>
      <c r="H798" s="45"/>
      <c r="I798" s="32"/>
      <c r="J798" s="9"/>
      <c r="K798" s="9"/>
      <c r="L798" s="45"/>
      <c r="M798" s="45"/>
      <c r="N798" s="45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9"/>
      <c r="AF798" s="32"/>
      <c r="AG798" s="46"/>
      <c r="AH798" s="46"/>
      <c r="AI798" s="47"/>
      <c r="AJ798" s="47"/>
      <c r="AK798" s="46"/>
      <c r="AL798" s="9"/>
      <c r="AM798" s="32"/>
      <c r="AN798" s="42"/>
    </row>
    <row r="799" spans="1:40" x14ac:dyDescent="0.2">
      <c r="A799" s="60"/>
      <c r="B799" s="32"/>
      <c r="C799" s="32"/>
      <c r="D799" s="32"/>
      <c r="E799" s="32"/>
      <c r="F799" s="45"/>
      <c r="G799" s="45"/>
      <c r="H799" s="45"/>
      <c r="I799" s="32"/>
      <c r="J799" s="9"/>
      <c r="K799" s="9"/>
      <c r="L799" s="45"/>
      <c r="M799" s="45"/>
      <c r="N799" s="45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9"/>
      <c r="AF799" s="32"/>
      <c r="AG799" s="46"/>
      <c r="AH799" s="46"/>
      <c r="AI799" s="47"/>
      <c r="AJ799" s="47"/>
      <c r="AK799" s="46"/>
      <c r="AL799" s="9"/>
      <c r="AM799" s="32"/>
      <c r="AN799" s="42"/>
    </row>
    <row r="800" spans="1:40" x14ac:dyDescent="0.2">
      <c r="A800" s="60"/>
      <c r="B800" s="32"/>
      <c r="C800" s="32"/>
      <c r="D800" s="32"/>
      <c r="E800" s="32"/>
      <c r="F800" s="45"/>
      <c r="G800" s="45"/>
      <c r="H800" s="45"/>
      <c r="I800" s="32"/>
      <c r="J800" s="9"/>
      <c r="K800" s="9"/>
      <c r="L800" s="45"/>
      <c r="M800" s="45"/>
      <c r="N800" s="45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9"/>
      <c r="AF800" s="32"/>
      <c r="AG800" s="46"/>
      <c r="AH800" s="46"/>
      <c r="AI800" s="47"/>
      <c r="AJ800" s="47"/>
      <c r="AK800" s="46"/>
      <c r="AL800" s="9"/>
      <c r="AM800" s="32"/>
      <c r="AN800" s="42"/>
    </row>
    <row r="801" spans="1:40" x14ac:dyDescent="0.2">
      <c r="A801" s="60"/>
      <c r="B801" s="32"/>
      <c r="C801" s="32"/>
      <c r="D801" s="32"/>
      <c r="E801" s="32"/>
      <c r="F801" s="45"/>
      <c r="G801" s="45"/>
      <c r="H801" s="45"/>
      <c r="I801" s="32"/>
      <c r="J801" s="9"/>
      <c r="K801" s="9"/>
      <c r="L801" s="45"/>
      <c r="M801" s="45"/>
      <c r="N801" s="45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9"/>
      <c r="AF801" s="32"/>
      <c r="AG801" s="46"/>
      <c r="AH801" s="46"/>
      <c r="AI801" s="47"/>
      <c r="AJ801" s="47"/>
      <c r="AK801" s="46"/>
      <c r="AL801" s="9"/>
      <c r="AM801" s="32"/>
      <c r="AN801" s="42"/>
    </row>
    <row r="802" spans="1:40" x14ac:dyDescent="0.2">
      <c r="A802" s="60"/>
      <c r="B802" s="32"/>
      <c r="C802" s="32"/>
      <c r="D802" s="32"/>
      <c r="E802" s="32"/>
      <c r="F802" s="45"/>
      <c r="G802" s="45"/>
      <c r="H802" s="45"/>
      <c r="I802" s="32"/>
      <c r="J802" s="9"/>
      <c r="K802" s="9"/>
      <c r="L802" s="45"/>
      <c r="M802" s="45"/>
      <c r="N802" s="45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9"/>
      <c r="AF802" s="32"/>
      <c r="AG802" s="46"/>
      <c r="AH802" s="46"/>
      <c r="AI802" s="47"/>
      <c r="AJ802" s="47"/>
      <c r="AK802" s="46"/>
      <c r="AL802" s="9"/>
      <c r="AM802" s="32"/>
      <c r="AN802" s="42"/>
    </row>
    <row r="803" spans="1:40" x14ac:dyDescent="0.2">
      <c r="A803" s="60"/>
      <c r="B803" s="32"/>
      <c r="C803" s="32"/>
      <c r="D803" s="32"/>
      <c r="E803" s="32"/>
      <c r="F803" s="45"/>
      <c r="G803" s="45"/>
      <c r="H803" s="45"/>
      <c r="I803" s="32"/>
      <c r="J803" s="9"/>
      <c r="K803" s="9"/>
      <c r="L803" s="45"/>
      <c r="M803" s="45"/>
      <c r="N803" s="45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9"/>
      <c r="AF803" s="32"/>
      <c r="AG803" s="46"/>
      <c r="AH803" s="46"/>
      <c r="AI803" s="47"/>
      <c r="AJ803" s="47"/>
      <c r="AK803" s="46"/>
      <c r="AL803" s="9"/>
      <c r="AM803" s="32"/>
      <c r="AN803" s="42"/>
    </row>
    <row r="804" spans="1:40" x14ac:dyDescent="0.2">
      <c r="A804" s="60"/>
      <c r="B804" s="32"/>
      <c r="C804" s="32"/>
      <c r="D804" s="32"/>
      <c r="E804" s="32"/>
      <c r="F804" s="45"/>
      <c r="G804" s="45"/>
      <c r="H804" s="45"/>
      <c r="I804" s="32"/>
      <c r="J804" s="9"/>
      <c r="K804" s="9"/>
      <c r="L804" s="45"/>
      <c r="M804" s="45"/>
      <c r="N804" s="45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9"/>
      <c r="AF804" s="32"/>
      <c r="AG804" s="46"/>
      <c r="AH804" s="46"/>
      <c r="AI804" s="47"/>
      <c r="AJ804" s="47"/>
      <c r="AK804" s="46"/>
      <c r="AL804" s="9"/>
      <c r="AM804" s="32"/>
      <c r="AN804" s="42"/>
    </row>
    <row r="805" spans="1:40" x14ac:dyDescent="0.2">
      <c r="A805" s="60"/>
      <c r="B805" s="32"/>
      <c r="C805" s="32"/>
      <c r="D805" s="32"/>
      <c r="E805" s="32"/>
      <c r="F805" s="45"/>
      <c r="G805" s="45"/>
      <c r="H805" s="45"/>
      <c r="I805" s="32"/>
      <c r="J805" s="9"/>
      <c r="K805" s="9"/>
      <c r="L805" s="45"/>
      <c r="M805" s="45"/>
      <c r="N805" s="45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9"/>
      <c r="AF805" s="32"/>
      <c r="AG805" s="46"/>
      <c r="AH805" s="46"/>
      <c r="AI805" s="47"/>
      <c r="AJ805" s="47"/>
      <c r="AK805" s="46"/>
      <c r="AL805" s="9"/>
      <c r="AM805" s="32"/>
      <c r="AN805" s="42"/>
    </row>
    <row r="806" spans="1:40" x14ac:dyDescent="0.2">
      <c r="A806" s="60"/>
      <c r="B806" s="32"/>
      <c r="C806" s="32"/>
      <c r="D806" s="32"/>
      <c r="E806" s="32"/>
      <c r="F806" s="45"/>
      <c r="G806" s="45"/>
      <c r="H806" s="45"/>
      <c r="I806" s="32"/>
      <c r="J806" s="9"/>
      <c r="K806" s="9"/>
      <c r="L806" s="45"/>
      <c r="M806" s="45"/>
      <c r="N806" s="45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9"/>
      <c r="AF806" s="32"/>
      <c r="AG806" s="46"/>
      <c r="AH806" s="46"/>
      <c r="AI806" s="47"/>
      <c r="AJ806" s="47"/>
      <c r="AK806" s="46"/>
      <c r="AL806" s="9"/>
      <c r="AM806" s="32"/>
      <c r="AN806" s="42"/>
    </row>
    <row r="807" spans="1:40" x14ac:dyDescent="0.2">
      <c r="A807" s="60"/>
      <c r="B807" s="32"/>
      <c r="C807" s="32"/>
      <c r="D807" s="32"/>
      <c r="E807" s="32"/>
      <c r="F807" s="45"/>
      <c r="G807" s="45"/>
      <c r="H807" s="45"/>
      <c r="I807" s="32"/>
      <c r="J807" s="9"/>
      <c r="K807" s="9"/>
      <c r="L807" s="45"/>
      <c r="M807" s="45"/>
      <c r="N807" s="45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9"/>
      <c r="AF807" s="32"/>
      <c r="AG807" s="46"/>
      <c r="AH807" s="46"/>
      <c r="AI807" s="47"/>
      <c r="AJ807" s="47"/>
      <c r="AK807" s="46"/>
      <c r="AL807" s="9"/>
      <c r="AM807" s="32"/>
      <c r="AN807" s="42"/>
    </row>
    <row r="808" spans="1:40" x14ac:dyDescent="0.2">
      <c r="A808" s="60"/>
      <c r="B808" s="32"/>
      <c r="C808" s="32"/>
      <c r="D808" s="32"/>
      <c r="E808" s="32"/>
      <c r="F808" s="45"/>
      <c r="G808" s="45"/>
      <c r="H808" s="45"/>
      <c r="I808" s="32"/>
      <c r="J808" s="9"/>
      <c r="K808" s="9"/>
      <c r="L808" s="45"/>
      <c r="M808" s="45"/>
      <c r="N808" s="45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9"/>
      <c r="AF808" s="32"/>
      <c r="AG808" s="46"/>
      <c r="AH808" s="46"/>
      <c r="AI808" s="47"/>
      <c r="AJ808" s="47"/>
      <c r="AK808" s="46"/>
      <c r="AL808" s="9"/>
      <c r="AM808" s="32"/>
      <c r="AN808" s="42"/>
    </row>
    <row r="809" spans="1:40" x14ac:dyDescent="0.2">
      <c r="A809" s="60"/>
      <c r="B809" s="32"/>
      <c r="C809" s="32"/>
      <c r="D809" s="32"/>
      <c r="E809" s="32"/>
      <c r="F809" s="45"/>
      <c r="G809" s="45"/>
      <c r="H809" s="45"/>
      <c r="I809" s="32"/>
      <c r="J809" s="9"/>
      <c r="K809" s="9"/>
      <c r="L809" s="45"/>
      <c r="M809" s="45"/>
      <c r="N809" s="45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9"/>
      <c r="AF809" s="32"/>
      <c r="AG809" s="46"/>
      <c r="AH809" s="46"/>
      <c r="AI809" s="47"/>
      <c r="AJ809" s="47"/>
      <c r="AK809" s="46"/>
      <c r="AL809" s="9"/>
      <c r="AM809" s="32"/>
      <c r="AN809" s="42"/>
    </row>
    <row r="810" spans="1:40" x14ac:dyDescent="0.2">
      <c r="A810" s="60"/>
      <c r="B810" s="32"/>
      <c r="C810" s="32"/>
      <c r="D810" s="32"/>
      <c r="E810" s="32"/>
      <c r="F810" s="45"/>
      <c r="G810" s="45"/>
      <c r="H810" s="45"/>
      <c r="I810" s="32"/>
      <c r="J810" s="9"/>
      <c r="K810" s="9"/>
      <c r="L810" s="45"/>
      <c r="M810" s="45"/>
      <c r="N810" s="45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9"/>
      <c r="AF810" s="32"/>
      <c r="AG810" s="46"/>
      <c r="AH810" s="46"/>
      <c r="AI810" s="47"/>
      <c r="AJ810" s="47"/>
      <c r="AK810" s="46"/>
      <c r="AL810" s="9"/>
      <c r="AM810" s="32"/>
      <c r="AN810" s="42"/>
    </row>
    <row r="811" spans="1:40" x14ac:dyDescent="0.2">
      <c r="A811" s="60"/>
      <c r="B811" s="32"/>
      <c r="C811" s="32"/>
      <c r="D811" s="32"/>
      <c r="E811" s="32"/>
      <c r="F811" s="45"/>
      <c r="G811" s="45"/>
      <c r="H811" s="45"/>
      <c r="I811" s="32"/>
      <c r="J811" s="9"/>
      <c r="K811" s="9"/>
      <c r="L811" s="45"/>
      <c r="M811" s="45"/>
      <c r="N811" s="45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9"/>
      <c r="AF811" s="32"/>
      <c r="AG811" s="46"/>
      <c r="AH811" s="46"/>
      <c r="AI811" s="47"/>
      <c r="AJ811" s="47"/>
      <c r="AK811" s="46"/>
      <c r="AL811" s="9"/>
      <c r="AM811" s="32"/>
      <c r="AN811" s="42"/>
    </row>
    <row r="812" spans="1:40" x14ac:dyDescent="0.2">
      <c r="A812" s="60"/>
      <c r="B812" s="32"/>
      <c r="C812" s="32"/>
      <c r="D812" s="32"/>
      <c r="E812" s="32"/>
      <c r="F812" s="45"/>
      <c r="G812" s="45"/>
      <c r="H812" s="45"/>
      <c r="I812" s="32"/>
      <c r="J812" s="9"/>
      <c r="K812" s="9"/>
      <c r="L812" s="45"/>
      <c r="M812" s="45"/>
      <c r="N812" s="45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9"/>
      <c r="AF812" s="32"/>
      <c r="AG812" s="46"/>
      <c r="AH812" s="46"/>
      <c r="AI812" s="47"/>
      <c r="AJ812" s="47"/>
      <c r="AK812" s="46"/>
      <c r="AL812" s="9"/>
      <c r="AM812" s="32"/>
      <c r="AN812" s="42"/>
    </row>
    <row r="813" spans="1:40" x14ac:dyDescent="0.2">
      <c r="A813" s="60"/>
      <c r="B813" s="32"/>
      <c r="C813" s="32"/>
      <c r="D813" s="32"/>
      <c r="E813" s="32"/>
      <c r="F813" s="45"/>
      <c r="G813" s="45"/>
      <c r="H813" s="45"/>
      <c r="I813" s="32"/>
      <c r="J813" s="9"/>
      <c r="K813" s="9"/>
      <c r="L813" s="45"/>
      <c r="M813" s="45"/>
      <c r="N813" s="45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9"/>
      <c r="AF813" s="32"/>
      <c r="AG813" s="46"/>
      <c r="AH813" s="46"/>
      <c r="AI813" s="47"/>
      <c r="AJ813" s="47"/>
      <c r="AK813" s="46"/>
      <c r="AL813" s="9"/>
      <c r="AM813" s="32"/>
      <c r="AN813" s="42"/>
    </row>
    <row r="814" spans="1:40" x14ac:dyDescent="0.2">
      <c r="A814" s="60"/>
      <c r="B814" s="32"/>
      <c r="C814" s="32"/>
      <c r="D814" s="32"/>
      <c r="E814" s="32"/>
      <c r="F814" s="45"/>
      <c r="G814" s="45"/>
      <c r="H814" s="45"/>
      <c r="I814" s="32"/>
      <c r="J814" s="9"/>
      <c r="K814" s="9"/>
      <c r="L814" s="45"/>
      <c r="M814" s="45"/>
      <c r="N814" s="45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9"/>
      <c r="AF814" s="32"/>
      <c r="AG814" s="46"/>
      <c r="AH814" s="46"/>
      <c r="AI814" s="47"/>
      <c r="AJ814" s="47"/>
      <c r="AK814" s="46"/>
      <c r="AL814" s="9"/>
      <c r="AM814" s="32"/>
      <c r="AN814" s="42"/>
    </row>
    <row r="815" spans="1:40" x14ac:dyDescent="0.2">
      <c r="A815" s="60"/>
      <c r="B815" s="32"/>
      <c r="C815" s="32"/>
      <c r="D815" s="32"/>
      <c r="E815" s="32"/>
      <c r="F815" s="45"/>
      <c r="G815" s="45"/>
      <c r="H815" s="45"/>
      <c r="I815" s="32"/>
      <c r="J815" s="9"/>
      <c r="K815" s="9"/>
      <c r="L815" s="45"/>
      <c r="M815" s="45"/>
      <c r="N815" s="45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9"/>
      <c r="AF815" s="32"/>
      <c r="AG815" s="46"/>
      <c r="AH815" s="46"/>
      <c r="AI815" s="47"/>
      <c r="AJ815" s="47"/>
      <c r="AK815" s="46"/>
      <c r="AL815" s="9"/>
      <c r="AM815" s="32"/>
      <c r="AN815" s="42"/>
    </row>
    <row r="816" spans="1:40" x14ac:dyDescent="0.2">
      <c r="A816" s="60"/>
      <c r="B816" s="32"/>
      <c r="C816" s="32"/>
      <c r="D816" s="32"/>
      <c r="E816" s="32"/>
      <c r="F816" s="45"/>
      <c r="G816" s="45"/>
      <c r="H816" s="45"/>
      <c r="I816" s="32"/>
      <c r="J816" s="9"/>
      <c r="K816" s="9"/>
      <c r="L816" s="45"/>
      <c r="M816" s="45"/>
      <c r="N816" s="45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9"/>
      <c r="AF816" s="32"/>
      <c r="AG816" s="46"/>
      <c r="AH816" s="46"/>
      <c r="AI816" s="47"/>
      <c r="AJ816" s="47"/>
      <c r="AK816" s="46"/>
      <c r="AL816" s="9"/>
      <c r="AM816" s="32"/>
      <c r="AN816" s="42"/>
    </row>
    <row r="817" spans="1:40" x14ac:dyDescent="0.2">
      <c r="A817" s="60"/>
      <c r="B817" s="32"/>
      <c r="C817" s="32"/>
      <c r="D817" s="32"/>
      <c r="E817" s="32"/>
      <c r="F817" s="45"/>
      <c r="G817" s="45"/>
      <c r="H817" s="45"/>
      <c r="I817" s="32"/>
      <c r="J817" s="9"/>
      <c r="K817" s="9"/>
      <c r="L817" s="45"/>
      <c r="M817" s="45"/>
      <c r="N817" s="45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9"/>
      <c r="AF817" s="32"/>
      <c r="AG817" s="46"/>
      <c r="AH817" s="46"/>
      <c r="AI817" s="47"/>
      <c r="AJ817" s="47"/>
      <c r="AK817" s="46"/>
      <c r="AL817" s="9"/>
      <c r="AM817" s="32"/>
      <c r="AN817" s="42"/>
    </row>
    <row r="818" spans="1:40" x14ac:dyDescent="0.2">
      <c r="A818" s="60"/>
      <c r="B818" s="32"/>
      <c r="C818" s="32"/>
      <c r="D818" s="32"/>
      <c r="E818" s="32"/>
      <c r="F818" s="45"/>
      <c r="G818" s="45"/>
      <c r="H818" s="45"/>
      <c r="I818" s="32"/>
      <c r="J818" s="9"/>
      <c r="K818" s="9"/>
      <c r="L818" s="45"/>
      <c r="M818" s="45"/>
      <c r="N818" s="45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9"/>
      <c r="AF818" s="32"/>
      <c r="AG818" s="46"/>
      <c r="AH818" s="46"/>
      <c r="AI818" s="47"/>
      <c r="AJ818" s="47"/>
      <c r="AK818" s="46"/>
      <c r="AL818" s="9"/>
      <c r="AM818" s="32"/>
      <c r="AN818" s="42"/>
    </row>
    <row r="819" spans="1:40" x14ac:dyDescent="0.2">
      <c r="A819" s="60"/>
      <c r="B819" s="32"/>
      <c r="C819" s="32"/>
      <c r="D819" s="32"/>
      <c r="E819" s="32"/>
      <c r="F819" s="45"/>
      <c r="G819" s="45"/>
      <c r="H819" s="45"/>
      <c r="I819" s="32"/>
      <c r="J819" s="9"/>
      <c r="K819" s="9"/>
      <c r="L819" s="45"/>
      <c r="M819" s="45"/>
      <c r="N819" s="45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9"/>
      <c r="AF819" s="32"/>
      <c r="AG819" s="46"/>
      <c r="AH819" s="46"/>
      <c r="AI819" s="47"/>
      <c r="AJ819" s="47"/>
      <c r="AK819" s="46"/>
      <c r="AL819" s="9"/>
      <c r="AM819" s="32"/>
      <c r="AN819" s="42"/>
    </row>
    <row r="820" spans="1:40" x14ac:dyDescent="0.2">
      <c r="A820" s="60"/>
      <c r="B820" s="32"/>
      <c r="C820" s="32"/>
      <c r="D820" s="32"/>
      <c r="E820" s="32"/>
      <c r="F820" s="45"/>
      <c r="G820" s="45"/>
      <c r="H820" s="45"/>
      <c r="I820" s="32"/>
      <c r="J820" s="9"/>
      <c r="K820" s="9"/>
      <c r="L820" s="45"/>
      <c r="M820" s="45"/>
      <c r="N820" s="45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9"/>
      <c r="AF820" s="32"/>
      <c r="AG820" s="46"/>
      <c r="AH820" s="46"/>
      <c r="AI820" s="47"/>
      <c r="AJ820" s="47"/>
      <c r="AK820" s="46"/>
      <c r="AL820" s="9"/>
      <c r="AM820" s="32"/>
      <c r="AN820" s="42"/>
    </row>
    <row r="821" spans="1:40" x14ac:dyDescent="0.2">
      <c r="A821" s="60"/>
      <c r="B821" s="32"/>
      <c r="C821" s="32"/>
      <c r="D821" s="32"/>
      <c r="E821" s="32"/>
      <c r="F821" s="45"/>
      <c r="G821" s="45"/>
      <c r="H821" s="45"/>
      <c r="I821" s="32"/>
      <c r="J821" s="9"/>
      <c r="K821" s="9"/>
      <c r="L821" s="45"/>
      <c r="M821" s="45"/>
      <c r="N821" s="45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9"/>
      <c r="AF821" s="32"/>
      <c r="AG821" s="46"/>
      <c r="AH821" s="46"/>
      <c r="AI821" s="47"/>
      <c r="AJ821" s="47"/>
      <c r="AK821" s="46"/>
      <c r="AL821" s="9"/>
      <c r="AM821" s="32"/>
      <c r="AN821" s="42"/>
    </row>
    <row r="822" spans="1:40" x14ac:dyDescent="0.2">
      <c r="A822" s="60"/>
      <c r="B822" s="32"/>
      <c r="C822" s="32"/>
      <c r="D822" s="32"/>
      <c r="E822" s="32"/>
      <c r="F822" s="45"/>
      <c r="G822" s="45"/>
      <c r="H822" s="45"/>
      <c r="I822" s="32"/>
      <c r="J822" s="9"/>
      <c r="K822" s="9"/>
      <c r="L822" s="45"/>
      <c r="M822" s="45"/>
      <c r="N822" s="45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9"/>
      <c r="AF822" s="32"/>
      <c r="AG822" s="46"/>
      <c r="AH822" s="46"/>
      <c r="AI822" s="47"/>
      <c r="AJ822" s="47"/>
      <c r="AK822" s="46"/>
      <c r="AL822" s="9"/>
      <c r="AM822" s="32"/>
      <c r="AN822" s="42"/>
    </row>
    <row r="823" spans="1:40" x14ac:dyDescent="0.2">
      <c r="A823" s="60"/>
      <c r="B823" s="32"/>
      <c r="C823" s="32"/>
      <c r="D823" s="32"/>
      <c r="E823" s="32"/>
      <c r="F823" s="45"/>
      <c r="G823" s="45"/>
      <c r="H823" s="45"/>
      <c r="I823" s="32"/>
      <c r="J823" s="9"/>
      <c r="K823" s="9"/>
      <c r="L823" s="45"/>
      <c r="M823" s="45"/>
      <c r="N823" s="45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9"/>
      <c r="AF823" s="32"/>
      <c r="AG823" s="46"/>
      <c r="AH823" s="46"/>
      <c r="AI823" s="47"/>
      <c r="AJ823" s="47"/>
      <c r="AK823" s="46"/>
      <c r="AL823" s="9"/>
      <c r="AM823" s="32"/>
      <c r="AN823" s="42"/>
    </row>
    <row r="824" spans="1:40" x14ac:dyDescent="0.2">
      <c r="A824" s="60"/>
      <c r="B824" s="32"/>
      <c r="C824" s="32"/>
      <c r="D824" s="32"/>
      <c r="E824" s="32"/>
      <c r="F824" s="45"/>
      <c r="G824" s="45"/>
      <c r="H824" s="45"/>
      <c r="I824" s="32"/>
      <c r="J824" s="9"/>
      <c r="K824" s="9"/>
      <c r="L824" s="45"/>
      <c r="M824" s="45"/>
      <c r="N824" s="45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9"/>
      <c r="AF824" s="32"/>
      <c r="AG824" s="46"/>
      <c r="AH824" s="46"/>
      <c r="AI824" s="47"/>
      <c r="AJ824" s="47"/>
      <c r="AK824" s="46"/>
      <c r="AL824" s="9"/>
      <c r="AM824" s="32"/>
      <c r="AN824" s="42"/>
    </row>
    <row r="825" spans="1:40" x14ac:dyDescent="0.2">
      <c r="A825" s="60"/>
      <c r="B825" s="32"/>
      <c r="C825" s="32"/>
      <c r="D825" s="32"/>
      <c r="E825" s="32"/>
      <c r="F825" s="45"/>
      <c r="G825" s="45"/>
      <c r="H825" s="45"/>
      <c r="I825" s="32"/>
      <c r="J825" s="9"/>
      <c r="K825" s="9"/>
      <c r="L825" s="45"/>
      <c r="M825" s="45"/>
      <c r="N825" s="45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9"/>
      <c r="AF825" s="32"/>
      <c r="AG825" s="46"/>
      <c r="AH825" s="46"/>
      <c r="AI825" s="47"/>
      <c r="AJ825" s="47"/>
      <c r="AK825" s="46"/>
      <c r="AL825" s="9"/>
      <c r="AM825" s="32"/>
      <c r="AN825" s="42"/>
    </row>
    <row r="826" spans="1:40" x14ac:dyDescent="0.2">
      <c r="A826" s="60"/>
      <c r="B826" s="32"/>
      <c r="C826" s="32"/>
      <c r="D826" s="32"/>
      <c r="E826" s="32"/>
      <c r="F826" s="45"/>
      <c r="G826" s="45"/>
      <c r="H826" s="45"/>
      <c r="I826" s="32"/>
      <c r="J826" s="9"/>
      <c r="K826" s="9"/>
      <c r="L826" s="45"/>
      <c r="M826" s="45"/>
      <c r="N826" s="45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9"/>
      <c r="AF826" s="32"/>
      <c r="AG826" s="46"/>
      <c r="AH826" s="46"/>
      <c r="AI826" s="47"/>
      <c r="AJ826" s="47"/>
      <c r="AK826" s="46"/>
      <c r="AL826" s="9"/>
      <c r="AM826" s="32"/>
      <c r="AN826" s="42"/>
    </row>
    <row r="827" spans="1:40" x14ac:dyDescent="0.2">
      <c r="A827" s="60"/>
      <c r="B827" s="32"/>
      <c r="C827" s="32"/>
      <c r="D827" s="32"/>
      <c r="E827" s="32"/>
      <c r="F827" s="45"/>
      <c r="G827" s="45"/>
      <c r="H827" s="45"/>
      <c r="I827" s="32"/>
      <c r="J827" s="9"/>
      <c r="K827" s="9"/>
      <c r="L827" s="45"/>
      <c r="M827" s="45"/>
      <c r="N827" s="45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9"/>
      <c r="AF827" s="32"/>
      <c r="AG827" s="46"/>
      <c r="AH827" s="46"/>
      <c r="AI827" s="47"/>
      <c r="AJ827" s="47"/>
      <c r="AK827" s="46"/>
      <c r="AL827" s="9"/>
      <c r="AM827" s="32"/>
      <c r="AN827" s="42"/>
    </row>
    <row r="828" spans="1:40" x14ac:dyDescent="0.2">
      <c r="A828" s="60"/>
      <c r="B828" s="32"/>
      <c r="C828" s="32"/>
      <c r="D828" s="32"/>
      <c r="E828" s="32"/>
      <c r="F828" s="45"/>
      <c r="G828" s="45"/>
      <c r="H828" s="45"/>
      <c r="I828" s="32"/>
      <c r="J828" s="9"/>
      <c r="K828" s="9"/>
      <c r="L828" s="45"/>
      <c r="M828" s="45"/>
      <c r="N828" s="45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9"/>
      <c r="AF828" s="32"/>
      <c r="AG828" s="46"/>
      <c r="AH828" s="46"/>
      <c r="AI828" s="47"/>
      <c r="AJ828" s="47"/>
      <c r="AK828" s="46"/>
      <c r="AL828" s="9"/>
      <c r="AM828" s="32"/>
      <c r="AN828" s="42"/>
    </row>
    <row r="829" spans="1:40" x14ac:dyDescent="0.2">
      <c r="A829" s="60"/>
      <c r="B829" s="32"/>
      <c r="C829" s="32"/>
      <c r="D829" s="32"/>
      <c r="E829" s="32"/>
      <c r="F829" s="45"/>
      <c r="G829" s="45"/>
      <c r="H829" s="45"/>
      <c r="I829" s="32"/>
      <c r="J829" s="9"/>
      <c r="K829" s="9"/>
      <c r="L829" s="45"/>
      <c r="M829" s="45"/>
      <c r="N829" s="45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9"/>
      <c r="AF829" s="32"/>
      <c r="AG829" s="46"/>
      <c r="AH829" s="46"/>
      <c r="AI829" s="47"/>
      <c r="AJ829" s="47"/>
      <c r="AK829" s="46"/>
      <c r="AL829" s="9"/>
      <c r="AM829" s="32"/>
      <c r="AN829" s="42"/>
    </row>
    <row r="830" spans="1:40" x14ac:dyDescent="0.2">
      <c r="A830" s="60"/>
      <c r="B830" s="32"/>
      <c r="C830" s="32"/>
      <c r="D830" s="32"/>
      <c r="E830" s="32"/>
      <c r="F830" s="45"/>
      <c r="G830" s="45"/>
      <c r="H830" s="45"/>
      <c r="I830" s="32"/>
      <c r="J830" s="9"/>
      <c r="K830" s="9"/>
      <c r="L830" s="45"/>
      <c r="M830" s="45"/>
      <c r="N830" s="45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9"/>
      <c r="AF830" s="32"/>
      <c r="AG830" s="46"/>
      <c r="AH830" s="46"/>
      <c r="AI830" s="47"/>
      <c r="AJ830" s="47"/>
      <c r="AK830" s="46"/>
      <c r="AL830" s="9"/>
      <c r="AM830" s="32"/>
      <c r="AN830" s="42"/>
    </row>
    <row r="831" spans="1:40" x14ac:dyDescent="0.2">
      <c r="A831" s="60"/>
      <c r="B831" s="32"/>
      <c r="C831" s="32"/>
      <c r="D831" s="32"/>
      <c r="E831" s="32"/>
      <c r="F831" s="45"/>
      <c r="G831" s="45"/>
      <c r="H831" s="45"/>
      <c r="I831" s="32"/>
      <c r="J831" s="9"/>
      <c r="K831" s="9"/>
      <c r="L831" s="45"/>
      <c r="M831" s="45"/>
      <c r="N831" s="45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9"/>
      <c r="AF831" s="32"/>
      <c r="AG831" s="46"/>
      <c r="AH831" s="46"/>
      <c r="AI831" s="47"/>
      <c r="AJ831" s="47"/>
      <c r="AK831" s="46"/>
      <c r="AL831" s="9"/>
      <c r="AM831" s="32"/>
      <c r="AN831" s="42"/>
    </row>
    <row r="832" spans="1:40" x14ac:dyDescent="0.2">
      <c r="A832" s="60"/>
      <c r="B832" s="32"/>
      <c r="C832" s="32"/>
      <c r="D832" s="32"/>
      <c r="E832" s="32"/>
      <c r="F832" s="45"/>
      <c r="G832" s="45"/>
      <c r="H832" s="45"/>
      <c r="I832" s="32"/>
      <c r="J832" s="9"/>
      <c r="K832" s="9"/>
      <c r="L832" s="45"/>
      <c r="M832" s="45"/>
      <c r="N832" s="45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9"/>
      <c r="AF832" s="32"/>
      <c r="AG832" s="46"/>
      <c r="AH832" s="46"/>
      <c r="AI832" s="47"/>
      <c r="AJ832" s="47"/>
      <c r="AK832" s="46"/>
      <c r="AL832" s="9"/>
      <c r="AM832" s="32"/>
      <c r="AN832" s="42"/>
    </row>
    <row r="833" spans="1:40" x14ac:dyDescent="0.2">
      <c r="A833" s="60"/>
      <c r="B833" s="32"/>
      <c r="C833" s="32"/>
      <c r="D833" s="32"/>
      <c r="E833" s="32"/>
      <c r="F833" s="45"/>
      <c r="G833" s="45"/>
      <c r="H833" s="45"/>
      <c r="I833" s="32"/>
      <c r="J833" s="9"/>
      <c r="K833" s="9"/>
      <c r="L833" s="45"/>
      <c r="M833" s="45"/>
      <c r="N833" s="45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9"/>
      <c r="AF833" s="32"/>
      <c r="AG833" s="46"/>
      <c r="AH833" s="46"/>
      <c r="AI833" s="47"/>
      <c r="AJ833" s="47"/>
      <c r="AK833" s="46"/>
      <c r="AL833" s="9"/>
      <c r="AM833" s="32"/>
      <c r="AN833" s="42"/>
    </row>
    <row r="834" spans="1:40" x14ac:dyDescent="0.2">
      <c r="A834" s="60"/>
      <c r="B834" s="32"/>
      <c r="C834" s="32"/>
      <c r="D834" s="32"/>
      <c r="E834" s="32"/>
      <c r="F834" s="45"/>
      <c r="G834" s="45"/>
      <c r="H834" s="45"/>
      <c r="I834" s="32"/>
      <c r="J834" s="9"/>
      <c r="K834" s="9"/>
      <c r="L834" s="45"/>
      <c r="M834" s="45"/>
      <c r="N834" s="45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9"/>
      <c r="AF834" s="32"/>
      <c r="AG834" s="46"/>
      <c r="AH834" s="46"/>
      <c r="AI834" s="47"/>
      <c r="AJ834" s="47"/>
      <c r="AK834" s="46"/>
      <c r="AL834" s="9"/>
      <c r="AM834" s="32"/>
      <c r="AN834" s="42"/>
    </row>
    <row r="835" spans="1:40" x14ac:dyDescent="0.2">
      <c r="A835" s="60"/>
      <c r="B835" s="32"/>
      <c r="C835" s="32"/>
      <c r="D835" s="32"/>
      <c r="E835" s="32"/>
      <c r="F835" s="45"/>
      <c r="G835" s="45"/>
      <c r="H835" s="45"/>
      <c r="I835" s="32"/>
      <c r="J835" s="9"/>
      <c r="K835" s="9"/>
      <c r="L835" s="45"/>
      <c r="M835" s="45"/>
      <c r="N835" s="45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9"/>
      <c r="AF835" s="32"/>
      <c r="AG835" s="46"/>
      <c r="AH835" s="46"/>
      <c r="AI835" s="47"/>
      <c r="AJ835" s="47"/>
      <c r="AK835" s="46"/>
      <c r="AL835" s="9"/>
      <c r="AM835" s="32"/>
      <c r="AN835" s="42"/>
    </row>
    <row r="836" spans="1:40" x14ac:dyDescent="0.2">
      <c r="A836" s="60"/>
      <c r="B836" s="32"/>
      <c r="C836" s="32"/>
      <c r="D836" s="32"/>
      <c r="E836" s="32"/>
      <c r="F836" s="45"/>
      <c r="G836" s="45"/>
      <c r="H836" s="45"/>
      <c r="I836" s="32"/>
      <c r="J836" s="9"/>
      <c r="K836" s="9"/>
      <c r="L836" s="45"/>
      <c r="M836" s="45"/>
      <c r="N836" s="45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9"/>
      <c r="AF836" s="32"/>
      <c r="AG836" s="46"/>
      <c r="AH836" s="46"/>
      <c r="AI836" s="47"/>
      <c r="AJ836" s="47"/>
      <c r="AK836" s="46"/>
      <c r="AL836" s="9"/>
      <c r="AM836" s="32"/>
      <c r="AN836" s="42"/>
    </row>
    <row r="837" spans="1:40" x14ac:dyDescent="0.2">
      <c r="A837" s="60"/>
      <c r="B837" s="32"/>
      <c r="C837" s="32"/>
      <c r="D837" s="32"/>
      <c r="E837" s="32"/>
      <c r="F837" s="45"/>
      <c r="G837" s="45"/>
      <c r="H837" s="45"/>
      <c r="I837" s="32"/>
      <c r="J837" s="9"/>
      <c r="K837" s="9"/>
      <c r="L837" s="45"/>
      <c r="M837" s="45"/>
      <c r="N837" s="45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9"/>
      <c r="AF837" s="32"/>
      <c r="AG837" s="46"/>
      <c r="AH837" s="46"/>
      <c r="AI837" s="47"/>
      <c r="AJ837" s="47"/>
      <c r="AK837" s="46"/>
      <c r="AL837" s="9"/>
      <c r="AM837" s="32"/>
      <c r="AN837" s="42"/>
    </row>
    <row r="838" spans="1:40" x14ac:dyDescent="0.2">
      <c r="A838" s="60"/>
      <c r="B838" s="32"/>
      <c r="C838" s="32"/>
      <c r="D838" s="32"/>
      <c r="E838" s="32"/>
      <c r="F838" s="45"/>
      <c r="G838" s="45"/>
      <c r="H838" s="45"/>
      <c r="I838" s="32"/>
      <c r="J838" s="9"/>
      <c r="K838" s="9"/>
      <c r="L838" s="45"/>
      <c r="M838" s="45"/>
      <c r="N838" s="45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9"/>
      <c r="AF838" s="32"/>
      <c r="AG838" s="46"/>
      <c r="AH838" s="46"/>
      <c r="AI838" s="47"/>
      <c r="AJ838" s="47"/>
      <c r="AK838" s="46"/>
      <c r="AL838" s="9"/>
      <c r="AM838" s="32"/>
      <c r="AN838" s="42"/>
    </row>
    <row r="839" spans="1:40" x14ac:dyDescent="0.2">
      <c r="A839" s="60"/>
      <c r="B839" s="32"/>
      <c r="C839" s="32"/>
      <c r="D839" s="32"/>
      <c r="E839" s="32"/>
      <c r="F839" s="45"/>
      <c r="G839" s="45"/>
      <c r="H839" s="45"/>
      <c r="I839" s="32"/>
      <c r="J839" s="9"/>
      <c r="K839" s="9"/>
      <c r="L839" s="45"/>
      <c r="M839" s="45"/>
      <c r="N839" s="45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9"/>
      <c r="AF839" s="32"/>
      <c r="AG839" s="46"/>
      <c r="AH839" s="46"/>
      <c r="AI839" s="47"/>
      <c r="AJ839" s="47"/>
      <c r="AK839" s="46"/>
      <c r="AL839" s="9"/>
      <c r="AM839" s="32"/>
      <c r="AN839" s="42"/>
    </row>
    <row r="840" spans="1:40" x14ac:dyDescent="0.2">
      <c r="A840" s="60"/>
      <c r="B840" s="32"/>
      <c r="C840" s="32"/>
      <c r="D840" s="32"/>
      <c r="E840" s="32"/>
      <c r="F840" s="45"/>
      <c r="G840" s="45"/>
      <c r="H840" s="45"/>
      <c r="I840" s="32"/>
      <c r="J840" s="9"/>
      <c r="K840" s="9"/>
      <c r="L840" s="45"/>
      <c r="M840" s="45"/>
      <c r="N840" s="45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9"/>
      <c r="AF840" s="32"/>
      <c r="AG840" s="46"/>
      <c r="AH840" s="46"/>
      <c r="AI840" s="47"/>
      <c r="AJ840" s="47"/>
      <c r="AK840" s="46"/>
      <c r="AL840" s="9"/>
      <c r="AM840" s="32"/>
      <c r="AN840" s="42"/>
    </row>
    <row r="841" spans="1:40" x14ac:dyDescent="0.2">
      <c r="A841" s="60"/>
      <c r="B841" s="32"/>
      <c r="C841" s="32"/>
      <c r="D841" s="32"/>
      <c r="E841" s="32"/>
      <c r="F841" s="45"/>
      <c r="G841" s="45"/>
      <c r="H841" s="45"/>
      <c r="I841" s="32"/>
      <c r="J841" s="9"/>
      <c r="K841" s="9"/>
      <c r="L841" s="45"/>
      <c r="M841" s="45"/>
      <c r="N841" s="45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9"/>
      <c r="AF841" s="32"/>
      <c r="AG841" s="46"/>
      <c r="AH841" s="46"/>
      <c r="AI841" s="47"/>
      <c r="AJ841" s="47"/>
      <c r="AK841" s="46"/>
      <c r="AL841" s="9"/>
      <c r="AM841" s="32"/>
      <c r="AN841" s="42"/>
    </row>
    <row r="842" spans="1:40" x14ac:dyDescent="0.2">
      <c r="A842" s="60"/>
      <c r="B842" s="32"/>
      <c r="C842" s="32"/>
      <c r="D842" s="32"/>
      <c r="E842" s="32"/>
      <c r="F842" s="45"/>
      <c r="G842" s="45"/>
      <c r="H842" s="45"/>
      <c r="I842" s="32"/>
      <c r="J842" s="9"/>
      <c r="K842" s="9"/>
      <c r="L842" s="45"/>
      <c r="M842" s="45"/>
      <c r="N842" s="45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9"/>
      <c r="AF842" s="32"/>
      <c r="AG842" s="46"/>
      <c r="AH842" s="46"/>
      <c r="AI842" s="47"/>
      <c r="AJ842" s="47"/>
      <c r="AK842" s="46"/>
      <c r="AL842" s="9"/>
      <c r="AM842" s="32"/>
      <c r="AN842" s="42"/>
    </row>
    <row r="843" spans="1:40" x14ac:dyDescent="0.2">
      <c r="A843" s="60"/>
      <c r="B843" s="32"/>
      <c r="C843" s="32"/>
      <c r="D843" s="32"/>
      <c r="E843" s="32"/>
      <c r="F843" s="45"/>
      <c r="G843" s="45"/>
      <c r="H843" s="45"/>
      <c r="I843" s="32"/>
      <c r="J843" s="9"/>
      <c r="K843" s="9"/>
      <c r="L843" s="45"/>
      <c r="M843" s="45"/>
      <c r="N843" s="45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9"/>
      <c r="AF843" s="32"/>
      <c r="AG843" s="46"/>
      <c r="AH843" s="46"/>
      <c r="AI843" s="47"/>
      <c r="AJ843" s="47"/>
      <c r="AK843" s="46"/>
      <c r="AL843" s="9"/>
      <c r="AM843" s="32"/>
      <c r="AN843" s="42"/>
    </row>
    <row r="844" spans="1:40" x14ac:dyDescent="0.2">
      <c r="A844" s="60"/>
      <c r="B844" s="32"/>
      <c r="C844" s="32"/>
      <c r="D844" s="32"/>
      <c r="E844" s="32"/>
      <c r="F844" s="45"/>
      <c r="G844" s="45"/>
      <c r="H844" s="45"/>
      <c r="I844" s="32"/>
      <c r="J844" s="9"/>
      <c r="K844" s="9"/>
      <c r="L844" s="45"/>
      <c r="M844" s="45"/>
      <c r="N844" s="45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9"/>
      <c r="AF844" s="32"/>
      <c r="AG844" s="46"/>
      <c r="AH844" s="46"/>
      <c r="AI844" s="47"/>
      <c r="AJ844" s="47"/>
      <c r="AK844" s="46"/>
      <c r="AL844" s="9"/>
      <c r="AM844" s="32"/>
      <c r="AN844" s="42"/>
    </row>
    <row r="845" spans="1:40" x14ac:dyDescent="0.2">
      <c r="A845" s="60"/>
      <c r="B845" s="32"/>
      <c r="C845" s="32"/>
      <c r="D845" s="32"/>
      <c r="E845" s="32"/>
      <c r="F845" s="45"/>
      <c r="G845" s="45"/>
      <c r="H845" s="45"/>
      <c r="I845" s="32"/>
      <c r="J845" s="9"/>
      <c r="K845" s="9"/>
      <c r="L845" s="45"/>
      <c r="M845" s="45"/>
      <c r="N845" s="45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9"/>
      <c r="AF845" s="32"/>
      <c r="AG845" s="46"/>
      <c r="AH845" s="46"/>
      <c r="AI845" s="47"/>
      <c r="AJ845" s="47"/>
      <c r="AK845" s="46"/>
      <c r="AL845" s="9"/>
      <c r="AM845" s="32"/>
      <c r="AN845" s="42"/>
    </row>
    <row r="846" spans="1:40" x14ac:dyDescent="0.2">
      <c r="A846" s="60"/>
      <c r="B846" s="32"/>
      <c r="C846" s="32"/>
      <c r="D846" s="32"/>
      <c r="E846" s="32"/>
      <c r="F846" s="45"/>
      <c r="G846" s="45"/>
      <c r="H846" s="45"/>
      <c r="I846" s="32"/>
      <c r="J846" s="9"/>
      <c r="K846" s="9"/>
      <c r="L846" s="45"/>
      <c r="M846" s="45"/>
      <c r="N846" s="45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9"/>
      <c r="AF846" s="32"/>
      <c r="AG846" s="46"/>
      <c r="AH846" s="46"/>
      <c r="AI846" s="47"/>
      <c r="AJ846" s="47"/>
      <c r="AK846" s="46"/>
      <c r="AL846" s="9"/>
      <c r="AM846" s="32"/>
      <c r="AN846" s="42"/>
    </row>
    <row r="847" spans="1:40" x14ac:dyDescent="0.2">
      <c r="A847" s="60"/>
      <c r="B847" s="32"/>
      <c r="C847" s="32"/>
      <c r="D847" s="32"/>
      <c r="E847" s="32"/>
      <c r="F847" s="45"/>
      <c r="G847" s="45"/>
      <c r="H847" s="45"/>
      <c r="I847" s="32"/>
      <c r="J847" s="9"/>
      <c r="K847" s="9"/>
      <c r="L847" s="45"/>
      <c r="M847" s="45"/>
      <c r="N847" s="45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9"/>
      <c r="AF847" s="32"/>
      <c r="AG847" s="46"/>
      <c r="AH847" s="46"/>
      <c r="AI847" s="47"/>
      <c r="AJ847" s="47"/>
      <c r="AK847" s="46"/>
      <c r="AL847" s="9"/>
      <c r="AM847" s="32"/>
      <c r="AN847" s="42"/>
    </row>
    <row r="848" spans="1:40" x14ac:dyDescent="0.2">
      <c r="A848" s="60"/>
      <c r="B848" s="32"/>
      <c r="C848" s="32"/>
      <c r="D848" s="32"/>
      <c r="E848" s="32"/>
      <c r="F848" s="45"/>
      <c r="G848" s="45"/>
      <c r="H848" s="45"/>
      <c r="I848" s="32"/>
      <c r="J848" s="9"/>
      <c r="K848" s="9"/>
      <c r="L848" s="45"/>
      <c r="M848" s="45"/>
      <c r="N848" s="45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9"/>
      <c r="AF848" s="32"/>
      <c r="AG848" s="46"/>
      <c r="AH848" s="46"/>
      <c r="AI848" s="47"/>
      <c r="AJ848" s="47"/>
      <c r="AK848" s="46"/>
      <c r="AL848" s="9"/>
      <c r="AM848" s="32"/>
      <c r="AN848" s="42"/>
    </row>
    <row r="849" spans="1:40" x14ac:dyDescent="0.2">
      <c r="A849" s="60"/>
      <c r="B849" s="32"/>
      <c r="C849" s="32"/>
      <c r="D849" s="32"/>
      <c r="E849" s="32"/>
      <c r="F849" s="45"/>
      <c r="G849" s="45"/>
      <c r="H849" s="45"/>
      <c r="I849" s="32"/>
      <c r="J849" s="9"/>
      <c r="K849" s="9"/>
      <c r="L849" s="45"/>
      <c r="M849" s="45"/>
      <c r="N849" s="45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9"/>
      <c r="AF849" s="32"/>
      <c r="AG849" s="46"/>
      <c r="AH849" s="46"/>
      <c r="AI849" s="47"/>
      <c r="AJ849" s="47"/>
      <c r="AK849" s="46"/>
      <c r="AL849" s="9"/>
      <c r="AM849" s="32"/>
      <c r="AN849" s="42"/>
    </row>
    <row r="850" spans="1:40" x14ac:dyDescent="0.2">
      <c r="A850" s="60"/>
      <c r="B850" s="32"/>
      <c r="C850" s="32"/>
      <c r="D850" s="32"/>
      <c r="E850" s="32"/>
      <c r="F850" s="45"/>
      <c r="G850" s="45"/>
      <c r="H850" s="45"/>
      <c r="I850" s="32"/>
      <c r="J850" s="9"/>
      <c r="K850" s="9"/>
      <c r="L850" s="45"/>
      <c r="M850" s="45"/>
      <c r="N850" s="45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9"/>
      <c r="AF850" s="32"/>
      <c r="AG850" s="46"/>
      <c r="AH850" s="46"/>
      <c r="AI850" s="47"/>
      <c r="AJ850" s="47"/>
      <c r="AK850" s="46"/>
      <c r="AL850" s="9"/>
      <c r="AM850" s="32"/>
      <c r="AN850" s="42"/>
    </row>
    <row r="851" spans="1:40" x14ac:dyDescent="0.2">
      <c r="A851" s="60"/>
      <c r="B851" s="32"/>
      <c r="C851" s="32"/>
      <c r="D851" s="32"/>
      <c r="E851" s="32"/>
      <c r="F851" s="45"/>
      <c r="G851" s="45"/>
      <c r="H851" s="45"/>
      <c r="I851" s="32"/>
      <c r="J851" s="9"/>
      <c r="K851" s="9"/>
      <c r="L851" s="45"/>
      <c r="M851" s="45"/>
      <c r="N851" s="45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9"/>
      <c r="AF851" s="32"/>
      <c r="AG851" s="46"/>
      <c r="AH851" s="46"/>
      <c r="AI851" s="47"/>
      <c r="AJ851" s="47"/>
      <c r="AK851" s="46"/>
      <c r="AL851" s="9"/>
      <c r="AM851" s="32"/>
      <c r="AN851" s="42"/>
    </row>
    <row r="852" spans="1:40" x14ac:dyDescent="0.2">
      <c r="A852" s="60"/>
      <c r="B852" s="32"/>
      <c r="C852" s="32"/>
      <c r="D852" s="32"/>
      <c r="E852" s="32"/>
      <c r="F852" s="45"/>
      <c r="G852" s="45"/>
      <c r="H852" s="45"/>
      <c r="I852" s="32"/>
      <c r="J852" s="9"/>
      <c r="K852" s="9"/>
      <c r="L852" s="45"/>
      <c r="M852" s="45"/>
      <c r="N852" s="45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9"/>
      <c r="AF852" s="32"/>
      <c r="AG852" s="46"/>
      <c r="AH852" s="46"/>
      <c r="AI852" s="47"/>
      <c r="AJ852" s="47"/>
      <c r="AK852" s="46"/>
      <c r="AL852" s="9"/>
      <c r="AM852" s="32"/>
      <c r="AN852" s="42"/>
    </row>
    <row r="853" spans="1:40" x14ac:dyDescent="0.2">
      <c r="A853" s="60"/>
      <c r="B853" s="32"/>
      <c r="C853" s="32"/>
      <c r="D853" s="32"/>
      <c r="E853" s="32"/>
      <c r="F853" s="45"/>
      <c r="G853" s="45"/>
      <c r="H853" s="45"/>
      <c r="I853" s="32"/>
      <c r="J853" s="9"/>
      <c r="K853" s="9"/>
      <c r="L853" s="45"/>
      <c r="M853" s="45"/>
      <c r="N853" s="45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9"/>
      <c r="AF853" s="32"/>
      <c r="AG853" s="46"/>
      <c r="AH853" s="46"/>
      <c r="AI853" s="47"/>
      <c r="AJ853" s="47"/>
      <c r="AK853" s="46"/>
      <c r="AL853" s="9"/>
      <c r="AM853" s="32"/>
      <c r="AN853" s="42"/>
    </row>
    <row r="854" spans="1:40" x14ac:dyDescent="0.2">
      <c r="A854" s="60"/>
      <c r="B854" s="32"/>
      <c r="C854" s="32"/>
      <c r="D854" s="32"/>
      <c r="E854" s="32"/>
      <c r="F854" s="45"/>
      <c r="G854" s="45"/>
      <c r="H854" s="45"/>
      <c r="I854" s="32"/>
      <c r="J854" s="9"/>
      <c r="K854" s="9"/>
      <c r="L854" s="45"/>
      <c r="M854" s="45"/>
      <c r="N854" s="45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9"/>
      <c r="AF854" s="32"/>
      <c r="AG854" s="46"/>
      <c r="AH854" s="46"/>
      <c r="AI854" s="47"/>
      <c r="AJ854" s="47"/>
      <c r="AK854" s="46"/>
      <c r="AL854" s="9"/>
      <c r="AM854" s="32"/>
      <c r="AN854" s="42"/>
    </row>
    <row r="855" spans="1:40" x14ac:dyDescent="0.2">
      <c r="A855" s="60"/>
      <c r="B855" s="32"/>
      <c r="C855" s="32"/>
      <c r="D855" s="32"/>
      <c r="E855" s="32"/>
      <c r="F855" s="45"/>
      <c r="G855" s="45"/>
      <c r="H855" s="45"/>
      <c r="I855" s="32"/>
      <c r="J855" s="9"/>
      <c r="K855" s="9"/>
      <c r="L855" s="45"/>
      <c r="M855" s="45"/>
      <c r="N855" s="45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9"/>
      <c r="AF855" s="32"/>
      <c r="AG855" s="46"/>
      <c r="AH855" s="46"/>
      <c r="AI855" s="47"/>
      <c r="AJ855" s="47"/>
      <c r="AK855" s="46"/>
      <c r="AL855" s="9"/>
      <c r="AM855" s="32"/>
      <c r="AN855" s="42"/>
    </row>
    <row r="856" spans="1:40" x14ac:dyDescent="0.2">
      <c r="A856" s="60"/>
      <c r="B856" s="32"/>
      <c r="C856" s="32"/>
      <c r="D856" s="32"/>
      <c r="E856" s="32"/>
      <c r="F856" s="45"/>
      <c r="G856" s="45"/>
      <c r="H856" s="45"/>
      <c r="I856" s="32"/>
      <c r="J856" s="9"/>
      <c r="K856" s="9"/>
      <c r="L856" s="45"/>
      <c r="M856" s="45"/>
      <c r="N856" s="45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9"/>
      <c r="AF856" s="32"/>
      <c r="AG856" s="46"/>
      <c r="AH856" s="46"/>
      <c r="AI856" s="47"/>
      <c r="AJ856" s="47"/>
      <c r="AK856" s="46"/>
      <c r="AL856" s="9"/>
      <c r="AM856" s="32"/>
      <c r="AN856" s="42"/>
    </row>
    <row r="857" spans="1:40" x14ac:dyDescent="0.2">
      <c r="A857" s="60"/>
      <c r="B857" s="32"/>
      <c r="C857" s="32"/>
      <c r="D857" s="32"/>
      <c r="E857" s="32"/>
      <c r="F857" s="45"/>
      <c r="G857" s="45"/>
      <c r="H857" s="45"/>
      <c r="I857" s="32"/>
      <c r="J857" s="9"/>
      <c r="K857" s="9"/>
      <c r="L857" s="45"/>
      <c r="M857" s="45"/>
      <c r="N857" s="45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9"/>
      <c r="AF857" s="32"/>
      <c r="AG857" s="46"/>
      <c r="AH857" s="46"/>
      <c r="AI857" s="47"/>
      <c r="AJ857" s="47"/>
      <c r="AK857" s="46"/>
      <c r="AL857" s="9"/>
      <c r="AM857" s="32"/>
      <c r="AN857" s="42"/>
    </row>
    <row r="858" spans="1:40" x14ac:dyDescent="0.2">
      <c r="A858" s="60"/>
      <c r="B858" s="32"/>
      <c r="C858" s="32"/>
      <c r="D858" s="32"/>
      <c r="E858" s="32"/>
      <c r="F858" s="45"/>
      <c r="G858" s="45"/>
      <c r="H858" s="45"/>
      <c r="I858" s="32"/>
      <c r="J858" s="9"/>
      <c r="K858" s="9"/>
      <c r="L858" s="45"/>
      <c r="M858" s="45"/>
      <c r="N858" s="45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9"/>
      <c r="AF858" s="32"/>
      <c r="AG858" s="46"/>
      <c r="AH858" s="46"/>
      <c r="AI858" s="47"/>
      <c r="AJ858" s="47"/>
      <c r="AK858" s="46"/>
      <c r="AL858" s="9"/>
      <c r="AM858" s="32"/>
      <c r="AN858" s="42"/>
    </row>
    <row r="859" spans="1:40" x14ac:dyDescent="0.2">
      <c r="A859" s="60"/>
      <c r="B859" s="32"/>
      <c r="C859" s="32"/>
      <c r="D859" s="32"/>
      <c r="E859" s="32"/>
      <c r="F859" s="45"/>
      <c r="G859" s="45"/>
      <c r="H859" s="45"/>
      <c r="I859" s="32"/>
      <c r="J859" s="9"/>
      <c r="K859" s="9"/>
      <c r="L859" s="45"/>
      <c r="M859" s="45"/>
      <c r="N859" s="45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9"/>
      <c r="AF859" s="32"/>
      <c r="AG859" s="46"/>
      <c r="AH859" s="46"/>
      <c r="AI859" s="47"/>
      <c r="AJ859" s="47"/>
      <c r="AK859" s="46"/>
      <c r="AL859" s="9"/>
      <c r="AM859" s="32"/>
      <c r="AN859" s="42"/>
    </row>
    <row r="860" spans="1:40" x14ac:dyDescent="0.2">
      <c r="A860" s="60"/>
      <c r="B860" s="32"/>
      <c r="C860" s="32"/>
      <c r="D860" s="32"/>
      <c r="E860" s="32"/>
      <c r="F860" s="45"/>
      <c r="G860" s="45"/>
      <c r="H860" s="45"/>
      <c r="I860" s="32"/>
      <c r="J860" s="9"/>
      <c r="K860" s="9"/>
      <c r="L860" s="45"/>
      <c r="M860" s="45"/>
      <c r="N860" s="45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9"/>
      <c r="AF860" s="32"/>
      <c r="AG860" s="46"/>
      <c r="AH860" s="46"/>
      <c r="AI860" s="47"/>
      <c r="AJ860" s="47"/>
      <c r="AK860" s="46"/>
      <c r="AL860" s="9"/>
      <c r="AM860" s="32"/>
      <c r="AN860" s="42"/>
    </row>
    <row r="861" spans="1:40" x14ac:dyDescent="0.2">
      <c r="A861" s="60"/>
      <c r="B861" s="32"/>
      <c r="C861" s="32"/>
      <c r="D861" s="32"/>
      <c r="E861" s="32"/>
      <c r="F861" s="45"/>
      <c r="G861" s="45"/>
      <c r="H861" s="45"/>
      <c r="I861" s="32"/>
      <c r="J861" s="9"/>
      <c r="K861" s="9"/>
      <c r="L861" s="45"/>
      <c r="M861" s="45"/>
      <c r="N861" s="45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9"/>
      <c r="AF861" s="32"/>
      <c r="AG861" s="46"/>
      <c r="AH861" s="46"/>
      <c r="AI861" s="47"/>
      <c r="AJ861" s="47"/>
      <c r="AK861" s="46"/>
      <c r="AL861" s="9"/>
      <c r="AM861" s="32"/>
      <c r="AN861" s="42"/>
    </row>
    <row r="862" spans="1:40" x14ac:dyDescent="0.2">
      <c r="A862" s="60"/>
      <c r="B862" s="32"/>
      <c r="C862" s="32"/>
      <c r="D862" s="32"/>
      <c r="E862" s="32"/>
      <c r="F862" s="45"/>
      <c r="G862" s="45"/>
      <c r="H862" s="45"/>
      <c r="I862" s="32"/>
      <c r="J862" s="9"/>
      <c r="K862" s="9"/>
      <c r="L862" s="45"/>
      <c r="M862" s="45"/>
      <c r="N862" s="45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9"/>
      <c r="AF862" s="32"/>
      <c r="AG862" s="46"/>
      <c r="AH862" s="46"/>
      <c r="AI862" s="47"/>
      <c r="AJ862" s="47"/>
      <c r="AK862" s="46"/>
      <c r="AL862" s="9"/>
      <c r="AM862" s="32"/>
      <c r="AN862" s="42"/>
    </row>
    <row r="863" spans="1:40" x14ac:dyDescent="0.2">
      <c r="A863" s="60"/>
      <c r="B863" s="32"/>
      <c r="C863" s="32"/>
      <c r="D863" s="32"/>
      <c r="E863" s="32"/>
      <c r="F863" s="45"/>
      <c r="G863" s="45"/>
      <c r="H863" s="45"/>
      <c r="I863" s="32"/>
      <c r="J863" s="9"/>
      <c r="K863" s="9"/>
      <c r="L863" s="45"/>
      <c r="M863" s="45"/>
      <c r="N863" s="45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9"/>
      <c r="AF863" s="32"/>
      <c r="AG863" s="46"/>
      <c r="AH863" s="46"/>
      <c r="AI863" s="47"/>
      <c r="AJ863" s="47"/>
      <c r="AK863" s="46"/>
      <c r="AL863" s="9"/>
      <c r="AM863" s="32"/>
      <c r="AN863" s="42"/>
    </row>
    <row r="864" spans="1:40" x14ac:dyDescent="0.2">
      <c r="A864" s="60"/>
      <c r="B864" s="32"/>
      <c r="C864" s="32"/>
      <c r="D864" s="32"/>
      <c r="E864" s="32"/>
      <c r="F864" s="45"/>
      <c r="G864" s="45"/>
      <c r="H864" s="45"/>
      <c r="I864" s="32"/>
      <c r="J864" s="9"/>
      <c r="K864" s="9"/>
      <c r="L864" s="45"/>
      <c r="M864" s="45"/>
      <c r="N864" s="45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9"/>
      <c r="AF864" s="32"/>
      <c r="AG864" s="46"/>
      <c r="AH864" s="46"/>
      <c r="AI864" s="47"/>
      <c r="AJ864" s="47"/>
      <c r="AK864" s="46"/>
      <c r="AL864" s="9"/>
      <c r="AM864" s="32"/>
      <c r="AN864" s="42"/>
    </row>
    <row r="865" spans="1:40" x14ac:dyDescent="0.2">
      <c r="A865" s="60"/>
      <c r="B865" s="32"/>
      <c r="C865" s="32"/>
      <c r="D865" s="32"/>
      <c r="E865" s="32"/>
      <c r="F865" s="45"/>
      <c r="G865" s="45"/>
      <c r="H865" s="45"/>
      <c r="I865" s="32"/>
      <c r="J865" s="9"/>
      <c r="K865" s="9"/>
      <c r="L865" s="45"/>
      <c r="M865" s="45"/>
      <c r="N865" s="45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9"/>
      <c r="AF865" s="32"/>
      <c r="AG865" s="46"/>
      <c r="AH865" s="46"/>
      <c r="AI865" s="47"/>
      <c r="AJ865" s="47"/>
      <c r="AK865" s="46"/>
      <c r="AL865" s="9"/>
      <c r="AM865" s="32"/>
      <c r="AN865" s="42"/>
    </row>
    <row r="866" spans="1:40" x14ac:dyDescent="0.2">
      <c r="A866" s="60"/>
      <c r="B866" s="32"/>
      <c r="C866" s="32"/>
      <c r="D866" s="32"/>
      <c r="E866" s="32"/>
      <c r="F866" s="45"/>
      <c r="G866" s="45"/>
      <c r="H866" s="45"/>
      <c r="I866" s="32"/>
      <c r="J866" s="9"/>
      <c r="K866" s="9"/>
      <c r="L866" s="45"/>
      <c r="M866" s="45"/>
      <c r="N866" s="45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9"/>
      <c r="AF866" s="32"/>
      <c r="AG866" s="46"/>
      <c r="AH866" s="46"/>
      <c r="AI866" s="47"/>
      <c r="AJ866" s="47"/>
      <c r="AK866" s="46"/>
      <c r="AL866" s="9"/>
      <c r="AM866" s="32"/>
      <c r="AN866" s="42"/>
    </row>
    <row r="867" spans="1:40" x14ac:dyDescent="0.2">
      <c r="A867" s="60"/>
      <c r="B867" s="32"/>
      <c r="C867" s="32"/>
      <c r="D867" s="32"/>
      <c r="E867" s="32"/>
      <c r="F867" s="45"/>
      <c r="G867" s="45"/>
      <c r="H867" s="45"/>
      <c r="I867" s="32"/>
      <c r="J867" s="9"/>
      <c r="K867" s="9"/>
      <c r="L867" s="45"/>
      <c r="M867" s="45"/>
      <c r="N867" s="45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9"/>
      <c r="AF867" s="32"/>
      <c r="AG867" s="46"/>
      <c r="AH867" s="46"/>
      <c r="AI867" s="47"/>
      <c r="AJ867" s="47"/>
      <c r="AK867" s="46"/>
      <c r="AL867" s="9"/>
      <c r="AM867" s="32"/>
      <c r="AN867" s="42"/>
    </row>
    <row r="868" spans="1:40" x14ac:dyDescent="0.2">
      <c r="A868" s="60"/>
      <c r="B868" s="32"/>
      <c r="C868" s="32"/>
      <c r="D868" s="32"/>
      <c r="E868" s="32"/>
      <c r="F868" s="45"/>
      <c r="G868" s="45"/>
      <c r="H868" s="45"/>
      <c r="I868" s="32"/>
      <c r="J868" s="9"/>
      <c r="K868" s="9"/>
      <c r="L868" s="45"/>
      <c r="M868" s="45"/>
      <c r="N868" s="45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9"/>
      <c r="AF868" s="32"/>
      <c r="AG868" s="46"/>
      <c r="AH868" s="46"/>
      <c r="AI868" s="47"/>
      <c r="AJ868" s="47"/>
      <c r="AK868" s="46"/>
      <c r="AL868" s="9"/>
      <c r="AM868" s="32"/>
      <c r="AN868" s="42"/>
    </row>
    <row r="869" spans="1:40" x14ac:dyDescent="0.2">
      <c r="A869" s="60"/>
      <c r="B869" s="32"/>
      <c r="C869" s="32"/>
      <c r="D869" s="32"/>
      <c r="E869" s="32"/>
      <c r="F869" s="45"/>
      <c r="G869" s="45"/>
      <c r="H869" s="45"/>
      <c r="I869" s="32"/>
      <c r="J869" s="9"/>
      <c r="K869" s="9"/>
      <c r="L869" s="45"/>
      <c r="M869" s="45"/>
      <c r="N869" s="45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9"/>
      <c r="AF869" s="32"/>
      <c r="AG869" s="46"/>
      <c r="AH869" s="46"/>
      <c r="AI869" s="47"/>
      <c r="AJ869" s="47"/>
      <c r="AK869" s="46"/>
      <c r="AL869" s="9"/>
      <c r="AM869" s="32"/>
      <c r="AN869" s="42"/>
    </row>
    <row r="870" spans="1:40" x14ac:dyDescent="0.2">
      <c r="A870" s="60"/>
      <c r="B870" s="32"/>
      <c r="C870" s="32"/>
      <c r="D870" s="32"/>
      <c r="E870" s="32"/>
      <c r="F870" s="45"/>
      <c r="G870" s="45"/>
      <c r="H870" s="45"/>
      <c r="I870" s="32"/>
      <c r="J870" s="9"/>
      <c r="K870" s="9"/>
      <c r="L870" s="45"/>
      <c r="M870" s="45"/>
      <c r="N870" s="45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9"/>
      <c r="AF870" s="32"/>
      <c r="AG870" s="46"/>
      <c r="AH870" s="46"/>
      <c r="AI870" s="47"/>
      <c r="AJ870" s="47"/>
      <c r="AK870" s="46"/>
      <c r="AL870" s="9"/>
      <c r="AM870" s="32"/>
      <c r="AN870" s="42"/>
    </row>
    <row r="871" spans="1:40" x14ac:dyDescent="0.2">
      <c r="A871" s="60"/>
      <c r="B871" s="32"/>
      <c r="C871" s="32"/>
      <c r="D871" s="32"/>
      <c r="E871" s="32"/>
      <c r="F871" s="45"/>
      <c r="G871" s="45"/>
      <c r="H871" s="45"/>
      <c r="I871" s="32"/>
      <c r="J871" s="9"/>
      <c r="K871" s="9"/>
      <c r="L871" s="45"/>
      <c r="M871" s="45"/>
      <c r="N871" s="45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9"/>
      <c r="AF871" s="32"/>
      <c r="AG871" s="46"/>
      <c r="AH871" s="46"/>
      <c r="AI871" s="47"/>
      <c r="AJ871" s="47"/>
      <c r="AK871" s="46"/>
      <c r="AL871" s="9"/>
      <c r="AM871" s="32"/>
      <c r="AN871" s="42"/>
    </row>
    <row r="872" spans="1:40" x14ac:dyDescent="0.2">
      <c r="A872" s="60"/>
      <c r="B872" s="32"/>
      <c r="C872" s="32"/>
      <c r="D872" s="32"/>
      <c r="E872" s="32"/>
      <c r="F872" s="45"/>
      <c r="G872" s="45"/>
      <c r="H872" s="45"/>
      <c r="I872" s="32"/>
      <c r="J872" s="9"/>
      <c r="K872" s="9"/>
      <c r="L872" s="45"/>
      <c r="M872" s="45"/>
      <c r="N872" s="45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9"/>
      <c r="AF872" s="32"/>
      <c r="AG872" s="46"/>
      <c r="AH872" s="46"/>
      <c r="AI872" s="47"/>
      <c r="AJ872" s="47"/>
      <c r="AK872" s="46"/>
      <c r="AL872" s="9"/>
      <c r="AM872" s="32"/>
      <c r="AN872" s="42"/>
    </row>
    <row r="873" spans="1:40" x14ac:dyDescent="0.2">
      <c r="A873" s="60"/>
      <c r="B873" s="32"/>
      <c r="C873" s="32"/>
      <c r="D873" s="32"/>
      <c r="E873" s="32"/>
      <c r="F873" s="45"/>
      <c r="G873" s="45"/>
      <c r="H873" s="45"/>
      <c r="I873" s="32"/>
      <c r="J873" s="9"/>
      <c r="K873" s="9"/>
      <c r="L873" s="45"/>
      <c r="M873" s="45"/>
      <c r="N873" s="45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9"/>
      <c r="AF873" s="32"/>
      <c r="AG873" s="46"/>
      <c r="AH873" s="46"/>
      <c r="AI873" s="47"/>
      <c r="AJ873" s="47"/>
      <c r="AK873" s="46"/>
      <c r="AL873" s="9"/>
      <c r="AM873" s="32"/>
      <c r="AN873" s="42"/>
    </row>
    <row r="874" spans="1:40" x14ac:dyDescent="0.2">
      <c r="A874" s="60"/>
      <c r="B874" s="32"/>
      <c r="C874" s="32"/>
      <c r="D874" s="32"/>
      <c r="E874" s="32"/>
      <c r="F874" s="45"/>
      <c r="G874" s="45"/>
      <c r="H874" s="45"/>
      <c r="I874" s="32"/>
      <c r="J874" s="9"/>
      <c r="K874" s="9"/>
      <c r="L874" s="45"/>
      <c r="M874" s="45"/>
      <c r="N874" s="45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9"/>
      <c r="AF874" s="32"/>
      <c r="AG874" s="46"/>
      <c r="AH874" s="46"/>
      <c r="AI874" s="47"/>
      <c r="AJ874" s="47"/>
      <c r="AK874" s="46"/>
      <c r="AL874" s="9"/>
      <c r="AM874" s="32"/>
      <c r="AN874" s="42"/>
    </row>
    <row r="875" spans="1:40" x14ac:dyDescent="0.2">
      <c r="A875" s="60"/>
      <c r="B875" s="32"/>
      <c r="C875" s="32"/>
      <c r="D875" s="32"/>
      <c r="E875" s="32"/>
      <c r="F875" s="45"/>
      <c r="G875" s="45"/>
      <c r="H875" s="45"/>
      <c r="I875" s="32"/>
      <c r="J875" s="9"/>
      <c r="K875" s="9"/>
      <c r="L875" s="45"/>
      <c r="M875" s="45"/>
      <c r="N875" s="45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9"/>
      <c r="AF875" s="32"/>
      <c r="AG875" s="46"/>
      <c r="AH875" s="46"/>
      <c r="AI875" s="47"/>
      <c r="AJ875" s="47"/>
      <c r="AK875" s="46"/>
      <c r="AL875" s="9"/>
      <c r="AM875" s="32"/>
      <c r="AN875" s="42"/>
    </row>
    <row r="876" spans="1:40" x14ac:dyDescent="0.2">
      <c r="A876" s="60"/>
      <c r="B876" s="32"/>
      <c r="C876" s="32"/>
      <c r="D876" s="32"/>
      <c r="E876" s="32"/>
      <c r="F876" s="45"/>
      <c r="G876" s="45"/>
      <c r="H876" s="45"/>
      <c r="I876" s="32"/>
      <c r="J876" s="9"/>
      <c r="K876" s="9"/>
      <c r="L876" s="45"/>
      <c r="M876" s="45"/>
      <c r="N876" s="45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9"/>
      <c r="AF876" s="32"/>
      <c r="AG876" s="46"/>
      <c r="AH876" s="46"/>
      <c r="AI876" s="47"/>
      <c r="AJ876" s="47"/>
      <c r="AK876" s="46"/>
      <c r="AL876" s="9"/>
      <c r="AM876" s="32"/>
      <c r="AN876" s="42"/>
    </row>
    <row r="877" spans="1:40" x14ac:dyDescent="0.2">
      <c r="A877" s="60"/>
      <c r="B877" s="32"/>
      <c r="C877" s="32"/>
      <c r="D877" s="32"/>
      <c r="E877" s="32"/>
      <c r="F877" s="45"/>
      <c r="G877" s="45"/>
      <c r="H877" s="45"/>
      <c r="I877" s="32"/>
      <c r="J877" s="9"/>
      <c r="K877" s="9"/>
      <c r="L877" s="45"/>
      <c r="M877" s="45"/>
      <c r="N877" s="45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9"/>
      <c r="AF877" s="32"/>
      <c r="AG877" s="46"/>
      <c r="AH877" s="46"/>
      <c r="AI877" s="47"/>
      <c r="AJ877" s="47"/>
      <c r="AK877" s="46"/>
      <c r="AL877" s="9"/>
      <c r="AM877" s="32"/>
      <c r="AN877" s="42"/>
    </row>
    <row r="878" spans="1:40" x14ac:dyDescent="0.2">
      <c r="A878" s="60"/>
      <c r="B878" s="32"/>
      <c r="C878" s="32"/>
      <c r="D878" s="32"/>
      <c r="E878" s="32"/>
      <c r="F878" s="45"/>
      <c r="G878" s="45"/>
      <c r="H878" s="45"/>
      <c r="I878" s="32"/>
      <c r="J878" s="9"/>
      <c r="K878" s="9"/>
      <c r="L878" s="45"/>
      <c r="M878" s="45"/>
      <c r="N878" s="45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9"/>
      <c r="AF878" s="32"/>
      <c r="AG878" s="46"/>
      <c r="AH878" s="46"/>
      <c r="AI878" s="47"/>
      <c r="AJ878" s="47"/>
      <c r="AK878" s="46"/>
      <c r="AL878" s="9"/>
      <c r="AM878" s="32"/>
      <c r="AN878" s="42"/>
    </row>
    <row r="879" spans="1:40" x14ac:dyDescent="0.2">
      <c r="A879" s="60"/>
      <c r="B879" s="32"/>
      <c r="C879" s="32"/>
      <c r="D879" s="32"/>
      <c r="E879" s="32"/>
      <c r="F879" s="45"/>
      <c r="G879" s="45"/>
      <c r="H879" s="45"/>
      <c r="I879" s="32"/>
      <c r="J879" s="9"/>
      <c r="K879" s="9"/>
      <c r="L879" s="45"/>
      <c r="M879" s="45"/>
      <c r="N879" s="45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9"/>
      <c r="AF879" s="32"/>
      <c r="AG879" s="46"/>
      <c r="AH879" s="46"/>
      <c r="AI879" s="47"/>
      <c r="AJ879" s="47"/>
      <c r="AK879" s="46"/>
      <c r="AL879" s="9"/>
      <c r="AM879" s="32"/>
      <c r="AN879" s="42"/>
    </row>
    <row r="880" spans="1:40" x14ac:dyDescent="0.2">
      <c r="A880" s="60"/>
      <c r="B880" s="32"/>
      <c r="C880" s="32"/>
      <c r="D880" s="32"/>
      <c r="E880" s="32"/>
      <c r="F880" s="45"/>
      <c r="G880" s="45"/>
      <c r="H880" s="45"/>
      <c r="I880" s="32"/>
      <c r="J880" s="9"/>
      <c r="K880" s="9"/>
      <c r="L880" s="45"/>
      <c r="M880" s="45"/>
      <c r="N880" s="45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9"/>
      <c r="AF880" s="32"/>
      <c r="AG880" s="46"/>
      <c r="AH880" s="46"/>
      <c r="AI880" s="47"/>
      <c r="AJ880" s="47"/>
      <c r="AK880" s="46"/>
      <c r="AL880" s="9"/>
      <c r="AM880" s="32"/>
      <c r="AN880" s="42"/>
    </row>
    <row r="881" spans="1:40" x14ac:dyDescent="0.2">
      <c r="A881" s="60"/>
      <c r="B881" s="32"/>
      <c r="C881" s="32"/>
      <c r="D881" s="32"/>
      <c r="E881" s="32"/>
      <c r="F881" s="45"/>
      <c r="G881" s="45"/>
      <c r="H881" s="45"/>
      <c r="I881" s="32"/>
      <c r="J881" s="9"/>
      <c r="K881" s="9"/>
      <c r="L881" s="45"/>
      <c r="M881" s="45"/>
      <c r="N881" s="45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9"/>
      <c r="AF881" s="32"/>
      <c r="AG881" s="46"/>
      <c r="AH881" s="46"/>
      <c r="AI881" s="47"/>
      <c r="AJ881" s="47"/>
      <c r="AK881" s="46"/>
      <c r="AL881" s="9"/>
      <c r="AM881" s="32"/>
      <c r="AN881" s="42"/>
    </row>
    <row r="882" spans="1:40" x14ac:dyDescent="0.2">
      <c r="A882" s="60"/>
      <c r="B882" s="32"/>
      <c r="C882" s="32"/>
      <c r="D882" s="32"/>
      <c r="E882" s="32"/>
      <c r="F882" s="45"/>
      <c r="G882" s="45"/>
      <c r="H882" s="45"/>
      <c r="I882" s="32"/>
      <c r="J882" s="9"/>
      <c r="K882" s="9"/>
      <c r="L882" s="45"/>
      <c r="M882" s="45"/>
      <c r="N882" s="45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9"/>
      <c r="AF882" s="32"/>
      <c r="AG882" s="46"/>
      <c r="AH882" s="46"/>
      <c r="AI882" s="47"/>
      <c r="AJ882" s="47"/>
      <c r="AK882" s="46"/>
      <c r="AL882" s="9"/>
      <c r="AM882" s="32"/>
      <c r="AN882" s="42"/>
    </row>
    <row r="883" spans="1:40" x14ac:dyDescent="0.2">
      <c r="A883" s="60"/>
      <c r="B883" s="32"/>
      <c r="C883" s="32"/>
      <c r="D883" s="32"/>
      <c r="E883" s="32"/>
      <c r="F883" s="45"/>
      <c r="G883" s="45"/>
      <c r="H883" s="45"/>
      <c r="I883" s="32"/>
      <c r="J883" s="9"/>
      <c r="K883" s="9"/>
      <c r="L883" s="45"/>
      <c r="M883" s="45"/>
      <c r="N883" s="45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9"/>
      <c r="AF883" s="32"/>
      <c r="AG883" s="46"/>
      <c r="AH883" s="46"/>
      <c r="AI883" s="47"/>
      <c r="AJ883" s="47"/>
      <c r="AK883" s="46"/>
      <c r="AL883" s="9"/>
      <c r="AM883" s="32"/>
      <c r="AN883" s="42"/>
    </row>
    <row r="884" spans="1:40" x14ac:dyDescent="0.2">
      <c r="A884" s="60"/>
      <c r="B884" s="32"/>
      <c r="C884" s="32"/>
      <c r="D884" s="32"/>
      <c r="E884" s="32"/>
      <c r="F884" s="45"/>
      <c r="G884" s="45"/>
      <c r="H884" s="45"/>
      <c r="I884" s="32"/>
      <c r="J884" s="9"/>
      <c r="K884" s="9"/>
      <c r="L884" s="45"/>
      <c r="M884" s="45"/>
      <c r="N884" s="45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9"/>
      <c r="AF884" s="32"/>
      <c r="AG884" s="46"/>
      <c r="AH884" s="46"/>
      <c r="AI884" s="47"/>
      <c r="AJ884" s="47"/>
      <c r="AK884" s="46"/>
      <c r="AL884" s="9"/>
      <c r="AM884" s="32"/>
      <c r="AN884" s="42"/>
    </row>
    <row r="885" spans="1:40" x14ac:dyDescent="0.2">
      <c r="A885" s="60"/>
      <c r="B885" s="32"/>
      <c r="C885" s="32"/>
      <c r="D885" s="32"/>
      <c r="E885" s="32"/>
      <c r="F885" s="45"/>
      <c r="G885" s="45"/>
      <c r="H885" s="45"/>
      <c r="I885" s="32"/>
      <c r="J885" s="9"/>
      <c r="K885" s="9"/>
      <c r="L885" s="45"/>
      <c r="M885" s="45"/>
      <c r="N885" s="45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9"/>
      <c r="AF885" s="32"/>
      <c r="AG885" s="46"/>
      <c r="AH885" s="46"/>
      <c r="AI885" s="47"/>
      <c r="AJ885" s="47"/>
      <c r="AK885" s="46"/>
      <c r="AL885" s="9"/>
      <c r="AM885" s="32"/>
      <c r="AN885" s="42"/>
    </row>
    <row r="886" spans="1:40" x14ac:dyDescent="0.2">
      <c r="A886" s="60"/>
      <c r="B886" s="32"/>
      <c r="C886" s="32"/>
      <c r="D886" s="32"/>
      <c r="E886" s="32"/>
      <c r="F886" s="45"/>
      <c r="G886" s="45"/>
      <c r="H886" s="45"/>
      <c r="I886" s="32"/>
      <c r="J886" s="9"/>
      <c r="K886" s="9"/>
      <c r="L886" s="45"/>
      <c r="M886" s="45"/>
      <c r="N886" s="45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9"/>
      <c r="AF886" s="32"/>
      <c r="AG886" s="46"/>
      <c r="AH886" s="46"/>
      <c r="AI886" s="47"/>
      <c r="AJ886" s="47"/>
      <c r="AK886" s="46"/>
      <c r="AL886" s="9"/>
      <c r="AM886" s="32"/>
      <c r="AN886" s="42"/>
    </row>
    <row r="887" spans="1:40" x14ac:dyDescent="0.2">
      <c r="A887" s="60"/>
      <c r="B887" s="32"/>
      <c r="C887" s="32"/>
      <c r="D887" s="32"/>
      <c r="E887" s="32"/>
      <c r="F887" s="45"/>
      <c r="G887" s="45"/>
      <c r="H887" s="45"/>
      <c r="I887" s="32"/>
      <c r="J887" s="9"/>
      <c r="K887" s="9"/>
      <c r="L887" s="45"/>
      <c r="M887" s="45"/>
      <c r="N887" s="45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9"/>
      <c r="AF887" s="32"/>
      <c r="AG887" s="46"/>
      <c r="AH887" s="46"/>
      <c r="AI887" s="47"/>
      <c r="AJ887" s="47"/>
      <c r="AK887" s="46"/>
      <c r="AL887" s="9"/>
      <c r="AM887" s="32"/>
      <c r="AN887" s="42"/>
    </row>
    <row r="888" spans="1:40" x14ac:dyDescent="0.2">
      <c r="A888" s="60"/>
      <c r="B888" s="32"/>
      <c r="C888" s="32"/>
      <c r="D888" s="32"/>
      <c r="E888" s="32"/>
      <c r="F888" s="45"/>
      <c r="G888" s="45"/>
      <c r="H888" s="45"/>
      <c r="I888" s="32"/>
      <c r="J888" s="9"/>
      <c r="K888" s="9"/>
      <c r="L888" s="45"/>
      <c r="M888" s="45"/>
      <c r="N888" s="45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9"/>
      <c r="AF888" s="32"/>
      <c r="AG888" s="46"/>
      <c r="AH888" s="46"/>
      <c r="AI888" s="47"/>
      <c r="AJ888" s="47"/>
      <c r="AK888" s="46"/>
      <c r="AL888" s="9"/>
      <c r="AM888" s="32"/>
      <c r="AN888" s="42"/>
    </row>
    <row r="889" spans="1:40" x14ac:dyDescent="0.2">
      <c r="A889" s="60"/>
      <c r="B889" s="32"/>
      <c r="C889" s="32"/>
      <c r="D889" s="32"/>
      <c r="E889" s="32"/>
      <c r="F889" s="45"/>
      <c r="G889" s="45"/>
      <c r="H889" s="45"/>
      <c r="I889" s="32"/>
      <c r="J889" s="9"/>
      <c r="K889" s="9"/>
      <c r="L889" s="45"/>
      <c r="M889" s="45"/>
      <c r="N889" s="45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9"/>
      <c r="AF889" s="32"/>
      <c r="AG889" s="46"/>
      <c r="AH889" s="46"/>
      <c r="AI889" s="47"/>
      <c r="AJ889" s="47"/>
      <c r="AK889" s="46"/>
      <c r="AL889" s="9"/>
      <c r="AM889" s="32"/>
      <c r="AN889" s="42"/>
    </row>
    <row r="890" spans="1:40" x14ac:dyDescent="0.2">
      <c r="A890" s="60"/>
      <c r="B890" s="32"/>
      <c r="C890" s="32"/>
      <c r="D890" s="32"/>
      <c r="E890" s="32"/>
      <c r="F890" s="45"/>
      <c r="G890" s="45"/>
      <c r="H890" s="45"/>
      <c r="I890" s="32"/>
      <c r="J890" s="9"/>
      <c r="K890" s="9"/>
      <c r="L890" s="45"/>
      <c r="M890" s="45"/>
      <c r="N890" s="45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9"/>
      <c r="AF890" s="32"/>
      <c r="AG890" s="46"/>
      <c r="AH890" s="46"/>
      <c r="AI890" s="47"/>
      <c r="AJ890" s="47"/>
      <c r="AK890" s="46"/>
      <c r="AL890" s="9"/>
      <c r="AM890" s="32"/>
      <c r="AN890" s="42"/>
    </row>
    <row r="891" spans="1:40" x14ac:dyDescent="0.2">
      <c r="A891" s="60"/>
      <c r="B891" s="32"/>
      <c r="C891" s="32"/>
      <c r="D891" s="32"/>
      <c r="E891" s="32"/>
      <c r="F891" s="45"/>
      <c r="G891" s="45"/>
      <c r="H891" s="45"/>
      <c r="I891" s="32"/>
      <c r="J891" s="9"/>
      <c r="K891" s="9"/>
      <c r="L891" s="45"/>
      <c r="M891" s="45"/>
      <c r="N891" s="45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9"/>
      <c r="AF891" s="32"/>
      <c r="AG891" s="46"/>
      <c r="AH891" s="46"/>
      <c r="AI891" s="47"/>
      <c r="AJ891" s="47"/>
      <c r="AK891" s="46"/>
      <c r="AL891" s="9"/>
      <c r="AM891" s="32"/>
      <c r="AN891" s="42"/>
    </row>
    <row r="892" spans="1:40" x14ac:dyDescent="0.2">
      <c r="A892" s="60"/>
      <c r="B892" s="32"/>
      <c r="C892" s="32"/>
      <c r="D892" s="32"/>
      <c r="E892" s="32"/>
      <c r="F892" s="45"/>
      <c r="G892" s="45"/>
      <c r="H892" s="45"/>
      <c r="I892" s="32"/>
      <c r="J892" s="9"/>
      <c r="K892" s="9"/>
      <c r="L892" s="45"/>
      <c r="M892" s="45"/>
      <c r="N892" s="45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9"/>
      <c r="AF892" s="32"/>
      <c r="AG892" s="46"/>
      <c r="AH892" s="46"/>
      <c r="AI892" s="47"/>
      <c r="AJ892" s="47"/>
      <c r="AK892" s="46"/>
      <c r="AL892" s="9"/>
      <c r="AM892" s="32"/>
      <c r="AN892" s="42"/>
    </row>
    <row r="893" spans="1:40" x14ac:dyDescent="0.2">
      <c r="A893" s="60"/>
      <c r="B893" s="32"/>
      <c r="C893" s="32"/>
      <c r="D893" s="32"/>
      <c r="E893" s="32"/>
      <c r="F893" s="45"/>
      <c r="G893" s="45"/>
      <c r="H893" s="45"/>
      <c r="I893" s="32"/>
      <c r="J893" s="9"/>
      <c r="K893" s="9"/>
      <c r="L893" s="45"/>
      <c r="M893" s="45"/>
      <c r="N893" s="45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9"/>
      <c r="AF893" s="32"/>
      <c r="AG893" s="46"/>
      <c r="AH893" s="46"/>
      <c r="AI893" s="47"/>
      <c r="AJ893" s="47"/>
      <c r="AK893" s="46"/>
      <c r="AL893" s="9"/>
      <c r="AM893" s="32"/>
      <c r="AN893" s="42"/>
    </row>
    <row r="894" spans="1:40" x14ac:dyDescent="0.2">
      <c r="A894" s="60"/>
      <c r="B894" s="32"/>
      <c r="C894" s="32"/>
      <c r="D894" s="32"/>
      <c r="E894" s="32"/>
      <c r="F894" s="45"/>
      <c r="G894" s="45"/>
      <c r="H894" s="45"/>
      <c r="I894" s="32"/>
      <c r="J894" s="9"/>
      <c r="K894" s="9"/>
      <c r="L894" s="45"/>
      <c r="M894" s="45"/>
      <c r="N894" s="45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9"/>
      <c r="AF894" s="32"/>
      <c r="AG894" s="46"/>
      <c r="AH894" s="46"/>
      <c r="AI894" s="47"/>
      <c r="AJ894" s="47"/>
      <c r="AK894" s="46"/>
      <c r="AL894" s="9"/>
      <c r="AM894" s="32"/>
      <c r="AN894" s="42"/>
    </row>
    <row r="895" spans="1:40" x14ac:dyDescent="0.2">
      <c r="A895" s="60"/>
      <c r="B895" s="32"/>
      <c r="C895" s="32"/>
      <c r="D895" s="32"/>
      <c r="E895" s="32"/>
      <c r="F895" s="45"/>
      <c r="G895" s="45"/>
      <c r="H895" s="45"/>
      <c r="I895" s="32"/>
      <c r="J895" s="9"/>
      <c r="K895" s="9"/>
      <c r="L895" s="45"/>
      <c r="M895" s="45"/>
      <c r="N895" s="45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9"/>
      <c r="AF895" s="32"/>
      <c r="AG895" s="46"/>
      <c r="AH895" s="46"/>
      <c r="AI895" s="47"/>
      <c r="AJ895" s="47"/>
      <c r="AK895" s="46"/>
      <c r="AL895" s="9"/>
      <c r="AM895" s="32"/>
      <c r="AN895" s="42"/>
    </row>
    <row r="896" spans="1:40" x14ac:dyDescent="0.2">
      <c r="A896" s="60"/>
      <c r="B896" s="32"/>
      <c r="C896" s="32"/>
      <c r="D896" s="32"/>
      <c r="E896" s="32"/>
      <c r="F896" s="45"/>
      <c r="G896" s="45"/>
      <c r="H896" s="45"/>
      <c r="I896" s="32"/>
      <c r="J896" s="9"/>
      <c r="K896" s="9"/>
      <c r="L896" s="45"/>
      <c r="M896" s="45"/>
      <c r="N896" s="45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9"/>
      <c r="AF896" s="32"/>
      <c r="AG896" s="46"/>
      <c r="AH896" s="46"/>
      <c r="AI896" s="47"/>
      <c r="AJ896" s="47"/>
      <c r="AK896" s="46"/>
      <c r="AL896" s="9"/>
      <c r="AM896" s="32"/>
      <c r="AN896" s="42"/>
    </row>
    <row r="897" spans="1:40" x14ac:dyDescent="0.2">
      <c r="A897" s="60"/>
      <c r="B897" s="32"/>
      <c r="C897" s="32"/>
      <c r="D897" s="32"/>
      <c r="E897" s="32"/>
      <c r="F897" s="45"/>
      <c r="G897" s="45"/>
      <c r="H897" s="45"/>
      <c r="I897" s="32"/>
      <c r="J897" s="9"/>
      <c r="K897" s="9"/>
      <c r="L897" s="45"/>
      <c r="M897" s="45"/>
      <c r="N897" s="45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9"/>
      <c r="AF897" s="32"/>
      <c r="AG897" s="46"/>
      <c r="AH897" s="46"/>
      <c r="AI897" s="47"/>
      <c r="AJ897" s="47"/>
      <c r="AK897" s="46"/>
      <c r="AL897" s="9"/>
      <c r="AM897" s="32"/>
      <c r="AN897" s="42"/>
    </row>
    <row r="898" spans="1:40" x14ac:dyDescent="0.2">
      <c r="A898" s="60"/>
      <c r="B898" s="32"/>
      <c r="C898" s="32"/>
      <c r="D898" s="32"/>
      <c r="E898" s="32"/>
      <c r="F898" s="45"/>
      <c r="G898" s="45"/>
      <c r="H898" s="45"/>
      <c r="I898" s="32"/>
      <c r="J898" s="9"/>
      <c r="K898" s="9"/>
      <c r="L898" s="45"/>
      <c r="M898" s="45"/>
      <c r="N898" s="45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9"/>
      <c r="AF898" s="32"/>
      <c r="AG898" s="46"/>
      <c r="AH898" s="46"/>
      <c r="AI898" s="47"/>
      <c r="AJ898" s="47"/>
      <c r="AK898" s="46"/>
      <c r="AL898" s="9"/>
      <c r="AM898" s="32"/>
      <c r="AN898" s="42"/>
    </row>
    <row r="899" spans="1:40" x14ac:dyDescent="0.2">
      <c r="A899" s="60"/>
      <c r="B899" s="32"/>
      <c r="C899" s="32"/>
      <c r="D899" s="32"/>
      <c r="E899" s="32"/>
      <c r="F899" s="45"/>
      <c r="G899" s="45"/>
      <c r="H899" s="45"/>
      <c r="I899" s="32"/>
      <c r="J899" s="9"/>
      <c r="K899" s="9"/>
      <c r="L899" s="45"/>
      <c r="M899" s="45"/>
      <c r="N899" s="45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9"/>
      <c r="AF899" s="32"/>
      <c r="AG899" s="46"/>
      <c r="AH899" s="46"/>
      <c r="AI899" s="47"/>
      <c r="AJ899" s="47"/>
      <c r="AK899" s="46"/>
      <c r="AL899" s="9"/>
      <c r="AM899" s="32"/>
      <c r="AN899" s="42"/>
    </row>
    <row r="900" spans="1:40" x14ac:dyDescent="0.2">
      <c r="A900" s="60"/>
      <c r="B900" s="32"/>
      <c r="C900" s="32"/>
      <c r="D900" s="32"/>
      <c r="E900" s="32"/>
      <c r="F900" s="45"/>
      <c r="G900" s="45"/>
      <c r="H900" s="45"/>
      <c r="I900" s="32"/>
      <c r="J900" s="9"/>
      <c r="K900" s="9"/>
      <c r="L900" s="45"/>
      <c r="M900" s="45"/>
      <c r="N900" s="45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9"/>
      <c r="AF900" s="32"/>
      <c r="AG900" s="46"/>
      <c r="AH900" s="46"/>
      <c r="AI900" s="47"/>
      <c r="AJ900" s="47"/>
      <c r="AK900" s="46"/>
      <c r="AL900" s="9"/>
      <c r="AM900" s="32"/>
      <c r="AN900" s="42"/>
    </row>
    <row r="901" spans="1:40" x14ac:dyDescent="0.2">
      <c r="A901" s="60"/>
      <c r="B901" s="32"/>
      <c r="C901" s="32"/>
      <c r="D901" s="32"/>
      <c r="E901" s="32"/>
      <c r="F901" s="45"/>
      <c r="G901" s="45"/>
      <c r="H901" s="45"/>
      <c r="I901" s="32"/>
      <c r="J901" s="9"/>
      <c r="K901" s="9"/>
      <c r="L901" s="45"/>
      <c r="M901" s="45"/>
      <c r="N901" s="45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9"/>
      <c r="AF901" s="32"/>
      <c r="AG901" s="46"/>
      <c r="AH901" s="46"/>
      <c r="AI901" s="47"/>
      <c r="AJ901" s="47"/>
      <c r="AK901" s="46"/>
      <c r="AL901" s="9"/>
      <c r="AM901" s="32"/>
      <c r="AN901" s="42"/>
    </row>
    <row r="902" spans="1:40" x14ac:dyDescent="0.2">
      <c r="A902" s="60"/>
      <c r="B902" s="32"/>
      <c r="C902" s="32"/>
      <c r="D902" s="32"/>
      <c r="E902" s="32"/>
      <c r="F902" s="45"/>
      <c r="G902" s="45"/>
      <c r="H902" s="45"/>
      <c r="I902" s="32"/>
      <c r="J902" s="9"/>
      <c r="K902" s="9"/>
      <c r="L902" s="45"/>
      <c r="M902" s="45"/>
      <c r="N902" s="45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9"/>
      <c r="AF902" s="32"/>
      <c r="AG902" s="46"/>
      <c r="AH902" s="46"/>
      <c r="AI902" s="47"/>
      <c r="AJ902" s="47"/>
      <c r="AK902" s="46"/>
      <c r="AL902" s="9"/>
      <c r="AM902" s="32"/>
      <c r="AN902" s="42"/>
    </row>
    <row r="903" spans="1:40" x14ac:dyDescent="0.2">
      <c r="A903" s="60"/>
      <c r="B903" s="32"/>
      <c r="C903" s="32"/>
      <c r="D903" s="32"/>
      <c r="E903" s="32"/>
      <c r="F903" s="45"/>
      <c r="G903" s="45"/>
      <c r="H903" s="45"/>
      <c r="I903" s="32"/>
      <c r="J903" s="9"/>
      <c r="K903" s="9"/>
      <c r="L903" s="45"/>
      <c r="M903" s="45"/>
      <c r="N903" s="45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9"/>
      <c r="AF903" s="32"/>
      <c r="AG903" s="46"/>
      <c r="AH903" s="46"/>
      <c r="AI903" s="47"/>
      <c r="AJ903" s="47"/>
      <c r="AK903" s="46"/>
      <c r="AL903" s="9"/>
      <c r="AM903" s="32"/>
      <c r="AN903" s="42"/>
    </row>
    <row r="904" spans="1:40" x14ac:dyDescent="0.2">
      <c r="A904" s="60"/>
      <c r="B904" s="32"/>
      <c r="C904" s="32"/>
      <c r="D904" s="32"/>
      <c r="E904" s="32"/>
      <c r="F904" s="45"/>
      <c r="G904" s="45"/>
      <c r="H904" s="45"/>
      <c r="I904" s="32"/>
      <c r="J904" s="9"/>
      <c r="K904" s="9"/>
      <c r="L904" s="45"/>
      <c r="M904" s="45"/>
      <c r="N904" s="45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9"/>
      <c r="AF904" s="32"/>
      <c r="AG904" s="46"/>
      <c r="AH904" s="46"/>
      <c r="AI904" s="47"/>
      <c r="AJ904" s="47"/>
      <c r="AK904" s="46"/>
      <c r="AL904" s="9"/>
      <c r="AM904" s="32"/>
      <c r="AN904" s="42"/>
    </row>
    <row r="905" spans="1:40" x14ac:dyDescent="0.2">
      <c r="A905" s="60"/>
      <c r="B905" s="32"/>
      <c r="C905" s="32"/>
      <c r="D905" s="32"/>
      <c r="E905" s="32"/>
      <c r="F905" s="45"/>
      <c r="G905" s="45"/>
      <c r="H905" s="45"/>
      <c r="I905" s="32"/>
      <c r="J905" s="9"/>
      <c r="K905" s="9"/>
      <c r="L905" s="45"/>
      <c r="M905" s="45"/>
      <c r="N905" s="45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9"/>
      <c r="AF905" s="32"/>
      <c r="AG905" s="46"/>
      <c r="AH905" s="46"/>
      <c r="AI905" s="47"/>
      <c r="AJ905" s="47"/>
      <c r="AK905" s="46"/>
      <c r="AL905" s="9"/>
      <c r="AM905" s="32"/>
      <c r="AN905" s="42"/>
    </row>
    <row r="906" spans="1:40" x14ac:dyDescent="0.2">
      <c r="A906" s="60"/>
      <c r="B906" s="32"/>
      <c r="C906" s="32"/>
      <c r="D906" s="32"/>
      <c r="E906" s="32"/>
      <c r="F906" s="45"/>
      <c r="G906" s="45"/>
      <c r="H906" s="45"/>
      <c r="I906" s="32"/>
      <c r="J906" s="9"/>
      <c r="K906" s="9"/>
      <c r="L906" s="45"/>
      <c r="M906" s="45"/>
      <c r="N906" s="45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9"/>
      <c r="AF906" s="32"/>
      <c r="AG906" s="46"/>
      <c r="AH906" s="46"/>
      <c r="AI906" s="47"/>
      <c r="AJ906" s="47"/>
      <c r="AK906" s="46"/>
      <c r="AL906" s="9"/>
      <c r="AM906" s="32"/>
      <c r="AN906" s="42"/>
    </row>
    <row r="907" spans="1:40" x14ac:dyDescent="0.2">
      <c r="A907" s="60"/>
      <c r="B907" s="32"/>
      <c r="C907" s="32"/>
      <c r="D907" s="32"/>
      <c r="E907" s="32"/>
      <c r="F907" s="45"/>
      <c r="G907" s="45"/>
      <c r="H907" s="45"/>
      <c r="I907" s="32"/>
      <c r="J907" s="9"/>
      <c r="K907" s="9"/>
      <c r="L907" s="45"/>
      <c r="M907" s="45"/>
      <c r="N907" s="45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9"/>
      <c r="AF907" s="32"/>
      <c r="AG907" s="46"/>
      <c r="AH907" s="46"/>
      <c r="AI907" s="47"/>
      <c r="AJ907" s="47"/>
      <c r="AK907" s="46"/>
      <c r="AL907" s="9"/>
      <c r="AM907" s="32"/>
      <c r="AN907" s="42"/>
    </row>
    <row r="908" spans="1:40" x14ac:dyDescent="0.2">
      <c r="A908" s="60"/>
      <c r="B908" s="32"/>
      <c r="C908" s="32"/>
      <c r="D908" s="32"/>
      <c r="E908" s="32"/>
      <c r="F908" s="45"/>
      <c r="G908" s="45"/>
      <c r="H908" s="45"/>
      <c r="I908" s="32"/>
      <c r="J908" s="9"/>
      <c r="K908" s="9"/>
      <c r="L908" s="45"/>
      <c r="M908" s="45"/>
      <c r="N908" s="45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9"/>
      <c r="AF908" s="32"/>
      <c r="AG908" s="46"/>
      <c r="AH908" s="46"/>
      <c r="AI908" s="47"/>
      <c r="AJ908" s="47"/>
      <c r="AK908" s="46"/>
      <c r="AL908" s="9"/>
      <c r="AM908" s="32"/>
      <c r="AN908" s="42"/>
    </row>
    <row r="909" spans="1:40" x14ac:dyDescent="0.2">
      <c r="A909" s="60"/>
      <c r="B909" s="32"/>
      <c r="C909" s="32"/>
      <c r="D909" s="32"/>
      <c r="E909" s="32"/>
      <c r="F909" s="45"/>
      <c r="G909" s="45"/>
      <c r="H909" s="45"/>
      <c r="I909" s="32"/>
      <c r="J909" s="9"/>
      <c r="K909" s="9"/>
      <c r="L909" s="45"/>
      <c r="M909" s="45"/>
      <c r="N909" s="45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9"/>
      <c r="AF909" s="32"/>
      <c r="AG909" s="46"/>
      <c r="AH909" s="46"/>
      <c r="AI909" s="47"/>
      <c r="AJ909" s="47"/>
      <c r="AK909" s="46"/>
      <c r="AL909" s="9"/>
      <c r="AM909" s="32"/>
      <c r="AN909" s="42"/>
    </row>
    <row r="910" spans="1:40" x14ac:dyDescent="0.2">
      <c r="A910" s="60"/>
      <c r="B910" s="32"/>
      <c r="C910" s="32"/>
      <c r="D910" s="32"/>
      <c r="E910" s="32"/>
      <c r="F910" s="45"/>
      <c r="G910" s="45"/>
      <c r="H910" s="45"/>
      <c r="I910" s="32"/>
      <c r="J910" s="9"/>
      <c r="K910" s="9"/>
      <c r="L910" s="45"/>
      <c r="M910" s="45"/>
      <c r="N910" s="45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9"/>
      <c r="AF910" s="32"/>
      <c r="AG910" s="46"/>
      <c r="AH910" s="46"/>
      <c r="AI910" s="47"/>
      <c r="AJ910" s="47"/>
      <c r="AK910" s="46"/>
      <c r="AL910" s="9"/>
      <c r="AM910" s="32"/>
      <c r="AN910" s="42"/>
    </row>
    <row r="911" spans="1:40" x14ac:dyDescent="0.2">
      <c r="A911" s="60"/>
      <c r="B911" s="32"/>
      <c r="C911" s="32"/>
      <c r="D911" s="32"/>
      <c r="E911" s="32"/>
      <c r="F911" s="45"/>
      <c r="G911" s="45"/>
      <c r="H911" s="45"/>
      <c r="I911" s="32"/>
      <c r="J911" s="9"/>
      <c r="K911" s="9"/>
      <c r="L911" s="45"/>
      <c r="M911" s="45"/>
      <c r="N911" s="45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9"/>
      <c r="AF911" s="32"/>
      <c r="AG911" s="46"/>
      <c r="AH911" s="46"/>
      <c r="AI911" s="47"/>
      <c r="AJ911" s="47"/>
      <c r="AK911" s="46"/>
      <c r="AL911" s="9"/>
      <c r="AM911" s="32"/>
      <c r="AN911" s="42"/>
    </row>
    <row r="912" spans="1:40" x14ac:dyDescent="0.2">
      <c r="A912" s="60"/>
      <c r="B912" s="32"/>
      <c r="C912" s="32"/>
      <c r="D912" s="32"/>
      <c r="E912" s="32"/>
      <c r="F912" s="45"/>
      <c r="G912" s="45"/>
      <c r="H912" s="45"/>
      <c r="I912" s="32"/>
      <c r="J912" s="9"/>
      <c r="K912" s="9"/>
      <c r="L912" s="45"/>
      <c r="M912" s="45"/>
      <c r="N912" s="45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9"/>
      <c r="AF912" s="32"/>
      <c r="AG912" s="46"/>
      <c r="AH912" s="46"/>
      <c r="AI912" s="47"/>
      <c r="AJ912" s="47"/>
      <c r="AK912" s="46"/>
      <c r="AL912" s="9"/>
      <c r="AM912" s="32"/>
      <c r="AN912" s="42"/>
    </row>
    <row r="913" spans="1:40" x14ac:dyDescent="0.2">
      <c r="A913" s="60"/>
      <c r="B913" s="32"/>
      <c r="C913" s="32"/>
      <c r="D913" s="32"/>
      <c r="E913" s="32"/>
      <c r="F913" s="45"/>
      <c r="G913" s="45"/>
      <c r="H913" s="45"/>
      <c r="I913" s="32"/>
      <c r="J913" s="9"/>
      <c r="K913" s="9"/>
      <c r="L913" s="45"/>
      <c r="M913" s="45"/>
      <c r="N913" s="45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9"/>
      <c r="AF913" s="32"/>
      <c r="AG913" s="46"/>
      <c r="AH913" s="46"/>
      <c r="AI913" s="47"/>
      <c r="AJ913" s="47"/>
      <c r="AK913" s="46"/>
      <c r="AL913" s="9"/>
      <c r="AM913" s="32"/>
      <c r="AN913" s="42"/>
    </row>
    <row r="914" spans="1:40" x14ac:dyDescent="0.2">
      <c r="A914" s="60"/>
      <c r="B914" s="32"/>
      <c r="C914" s="32"/>
      <c r="D914" s="32"/>
      <c r="E914" s="32"/>
      <c r="F914" s="45"/>
      <c r="G914" s="45"/>
      <c r="H914" s="45"/>
      <c r="I914" s="32"/>
      <c r="J914" s="9"/>
      <c r="K914" s="9"/>
      <c r="L914" s="45"/>
      <c r="M914" s="45"/>
      <c r="N914" s="45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9"/>
      <c r="AF914" s="32"/>
      <c r="AG914" s="46"/>
      <c r="AH914" s="46"/>
      <c r="AI914" s="47"/>
      <c r="AJ914" s="47"/>
      <c r="AK914" s="46"/>
      <c r="AL914" s="9"/>
      <c r="AM914" s="32"/>
      <c r="AN914" s="42"/>
    </row>
    <row r="915" spans="1:40" x14ac:dyDescent="0.2">
      <c r="A915" s="60"/>
      <c r="B915" s="32"/>
      <c r="C915" s="32"/>
      <c r="D915" s="32"/>
      <c r="E915" s="32"/>
      <c r="F915" s="45"/>
      <c r="G915" s="45"/>
      <c r="H915" s="45"/>
      <c r="I915" s="32"/>
      <c r="J915" s="9"/>
      <c r="K915" s="9"/>
      <c r="L915" s="45"/>
      <c r="M915" s="45"/>
      <c r="N915" s="45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9"/>
      <c r="AF915" s="32"/>
      <c r="AG915" s="46"/>
      <c r="AH915" s="46"/>
      <c r="AI915" s="47"/>
      <c r="AJ915" s="47"/>
      <c r="AK915" s="46"/>
      <c r="AL915" s="9"/>
      <c r="AM915" s="32"/>
      <c r="AN915" s="42"/>
    </row>
    <row r="916" spans="1:40" x14ac:dyDescent="0.2">
      <c r="A916" s="60"/>
      <c r="B916" s="32"/>
      <c r="C916" s="32"/>
      <c r="D916" s="32"/>
      <c r="E916" s="32"/>
      <c r="F916" s="45"/>
      <c r="G916" s="45"/>
      <c r="H916" s="45"/>
      <c r="I916" s="32"/>
      <c r="J916" s="9"/>
      <c r="K916" s="9"/>
      <c r="L916" s="45"/>
      <c r="M916" s="45"/>
      <c r="N916" s="45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9"/>
      <c r="AF916" s="32"/>
      <c r="AG916" s="46"/>
      <c r="AH916" s="46"/>
      <c r="AI916" s="47"/>
      <c r="AJ916" s="47"/>
      <c r="AK916" s="46"/>
      <c r="AL916" s="9"/>
      <c r="AM916" s="32"/>
      <c r="AN916" s="42"/>
    </row>
    <row r="917" spans="1:40" x14ac:dyDescent="0.2">
      <c r="A917" s="60"/>
      <c r="B917" s="32"/>
      <c r="C917" s="32"/>
      <c r="D917" s="32"/>
      <c r="E917" s="32"/>
      <c r="F917" s="45"/>
      <c r="G917" s="45"/>
      <c r="H917" s="45"/>
      <c r="I917" s="32"/>
      <c r="J917" s="9"/>
      <c r="K917" s="9"/>
      <c r="L917" s="45"/>
      <c r="M917" s="45"/>
      <c r="N917" s="45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9"/>
      <c r="AF917" s="32"/>
      <c r="AG917" s="46"/>
      <c r="AH917" s="46"/>
      <c r="AI917" s="47"/>
      <c r="AJ917" s="47"/>
      <c r="AK917" s="46"/>
      <c r="AL917" s="9"/>
      <c r="AM917" s="32"/>
      <c r="AN917" s="42"/>
    </row>
    <row r="918" spans="1:40" x14ac:dyDescent="0.2">
      <c r="A918" s="60"/>
      <c r="B918" s="32"/>
      <c r="C918" s="32"/>
      <c r="D918" s="32"/>
      <c r="E918" s="32"/>
      <c r="F918" s="45"/>
      <c r="G918" s="45"/>
      <c r="H918" s="45"/>
      <c r="I918" s="32"/>
      <c r="J918" s="9"/>
      <c r="K918" s="9"/>
      <c r="L918" s="45"/>
      <c r="M918" s="45"/>
      <c r="N918" s="45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9"/>
      <c r="AF918" s="32"/>
      <c r="AG918" s="46"/>
      <c r="AH918" s="46"/>
      <c r="AI918" s="47"/>
      <c r="AJ918" s="47"/>
      <c r="AK918" s="46"/>
      <c r="AL918" s="9"/>
      <c r="AM918" s="32"/>
      <c r="AN918" s="42"/>
    </row>
    <row r="919" spans="1:40" x14ac:dyDescent="0.2">
      <c r="A919" s="60"/>
      <c r="B919" s="32"/>
      <c r="C919" s="32"/>
      <c r="D919" s="32"/>
      <c r="E919" s="32"/>
      <c r="F919" s="45"/>
      <c r="G919" s="45"/>
      <c r="H919" s="45"/>
      <c r="I919" s="32"/>
      <c r="J919" s="9"/>
      <c r="K919" s="9"/>
      <c r="L919" s="45"/>
      <c r="M919" s="45"/>
      <c r="N919" s="45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9"/>
      <c r="AF919" s="32"/>
      <c r="AG919" s="46"/>
      <c r="AH919" s="46"/>
      <c r="AI919" s="47"/>
      <c r="AJ919" s="47"/>
      <c r="AK919" s="46"/>
      <c r="AL919" s="9"/>
      <c r="AM919" s="32"/>
      <c r="AN919" s="42"/>
    </row>
    <row r="920" spans="1:40" x14ac:dyDescent="0.2">
      <c r="A920" s="60"/>
      <c r="B920" s="32"/>
      <c r="C920" s="32"/>
      <c r="D920" s="32"/>
      <c r="E920" s="32"/>
      <c r="F920" s="45"/>
      <c r="G920" s="45"/>
      <c r="H920" s="45"/>
      <c r="I920" s="32"/>
      <c r="J920" s="9"/>
      <c r="K920" s="9"/>
      <c r="L920" s="45"/>
      <c r="M920" s="45"/>
      <c r="N920" s="45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9"/>
      <c r="AF920" s="32"/>
      <c r="AG920" s="46"/>
      <c r="AH920" s="46"/>
      <c r="AI920" s="47"/>
      <c r="AJ920" s="47"/>
      <c r="AK920" s="46"/>
      <c r="AL920" s="9"/>
      <c r="AM920" s="32"/>
      <c r="AN920" s="42"/>
    </row>
    <row r="921" spans="1:40" x14ac:dyDescent="0.2">
      <c r="A921" s="60"/>
      <c r="B921" s="32"/>
      <c r="C921" s="32"/>
      <c r="D921" s="32"/>
      <c r="E921" s="32"/>
      <c r="F921" s="45"/>
      <c r="G921" s="45"/>
      <c r="H921" s="45"/>
      <c r="I921" s="32"/>
      <c r="J921" s="9"/>
      <c r="K921" s="9"/>
      <c r="L921" s="45"/>
      <c r="M921" s="45"/>
      <c r="N921" s="45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9"/>
      <c r="AF921" s="32"/>
      <c r="AG921" s="46"/>
      <c r="AH921" s="46"/>
      <c r="AI921" s="47"/>
      <c r="AJ921" s="47"/>
      <c r="AK921" s="46"/>
      <c r="AL921" s="9"/>
      <c r="AM921" s="32"/>
      <c r="AN921" s="42"/>
    </row>
    <row r="922" spans="1:40" x14ac:dyDescent="0.2">
      <c r="A922" s="60"/>
      <c r="B922" s="32"/>
      <c r="C922" s="32"/>
      <c r="D922" s="32"/>
      <c r="E922" s="32"/>
      <c r="F922" s="45"/>
      <c r="G922" s="45"/>
      <c r="H922" s="45"/>
      <c r="I922" s="32"/>
      <c r="J922" s="9"/>
      <c r="K922" s="9"/>
      <c r="L922" s="45"/>
      <c r="M922" s="45"/>
      <c r="N922" s="45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9"/>
      <c r="AF922" s="32"/>
      <c r="AG922" s="46"/>
      <c r="AH922" s="46"/>
      <c r="AI922" s="47"/>
      <c r="AJ922" s="47"/>
      <c r="AK922" s="46"/>
      <c r="AL922" s="9"/>
      <c r="AM922" s="32"/>
      <c r="AN922" s="42"/>
    </row>
    <row r="923" spans="1:40" x14ac:dyDescent="0.2">
      <c r="A923" s="60"/>
      <c r="B923" s="32"/>
      <c r="C923" s="32"/>
      <c r="D923" s="32"/>
      <c r="E923" s="32"/>
      <c r="F923" s="45"/>
      <c r="G923" s="45"/>
      <c r="H923" s="45"/>
      <c r="I923" s="32"/>
      <c r="J923" s="9"/>
      <c r="K923" s="9"/>
      <c r="L923" s="45"/>
      <c r="M923" s="45"/>
      <c r="N923" s="45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9"/>
      <c r="AF923" s="32"/>
      <c r="AG923" s="46"/>
      <c r="AH923" s="46"/>
      <c r="AI923" s="47"/>
      <c r="AJ923" s="47"/>
      <c r="AK923" s="46"/>
      <c r="AL923" s="9"/>
      <c r="AM923" s="32"/>
      <c r="AN923" s="42"/>
    </row>
    <row r="924" spans="1:40" x14ac:dyDescent="0.2">
      <c r="A924" s="60"/>
      <c r="B924" s="32"/>
      <c r="C924" s="32"/>
      <c r="D924" s="32"/>
      <c r="E924" s="32"/>
      <c r="F924" s="45"/>
      <c r="G924" s="45"/>
      <c r="H924" s="45"/>
      <c r="I924" s="32"/>
      <c r="J924" s="9"/>
      <c r="K924" s="9"/>
      <c r="L924" s="45"/>
      <c r="M924" s="45"/>
      <c r="N924" s="45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9"/>
      <c r="AF924" s="32"/>
      <c r="AG924" s="46"/>
      <c r="AH924" s="46"/>
      <c r="AI924" s="47"/>
      <c r="AJ924" s="47"/>
      <c r="AK924" s="46"/>
      <c r="AL924" s="9"/>
      <c r="AM924" s="32"/>
      <c r="AN924" s="42"/>
    </row>
    <row r="925" spans="1:40" x14ac:dyDescent="0.2">
      <c r="A925" s="60"/>
      <c r="B925" s="32"/>
      <c r="C925" s="32"/>
      <c r="D925" s="32"/>
      <c r="E925" s="32"/>
      <c r="F925" s="45"/>
      <c r="G925" s="45"/>
      <c r="H925" s="45"/>
      <c r="I925" s="32"/>
      <c r="J925" s="9"/>
      <c r="K925" s="9"/>
      <c r="L925" s="45"/>
      <c r="M925" s="45"/>
      <c r="N925" s="45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9"/>
      <c r="AF925" s="32"/>
      <c r="AG925" s="46"/>
      <c r="AH925" s="46"/>
      <c r="AI925" s="47"/>
      <c r="AJ925" s="47"/>
      <c r="AK925" s="46"/>
      <c r="AL925" s="9"/>
      <c r="AM925" s="32"/>
      <c r="AN925" s="42"/>
    </row>
    <row r="926" spans="1:40" x14ac:dyDescent="0.2">
      <c r="A926" s="60"/>
      <c r="B926" s="32"/>
      <c r="C926" s="32"/>
      <c r="D926" s="32"/>
      <c r="E926" s="32"/>
      <c r="F926" s="45"/>
      <c r="G926" s="45"/>
      <c r="H926" s="45"/>
      <c r="I926" s="32"/>
      <c r="J926" s="9"/>
      <c r="K926" s="9"/>
      <c r="L926" s="45"/>
      <c r="M926" s="45"/>
      <c r="N926" s="45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9"/>
      <c r="AF926" s="32"/>
      <c r="AG926" s="46"/>
      <c r="AH926" s="46"/>
      <c r="AI926" s="47"/>
      <c r="AJ926" s="47"/>
      <c r="AK926" s="46"/>
      <c r="AL926" s="9"/>
      <c r="AM926" s="32"/>
      <c r="AN926" s="42"/>
    </row>
    <row r="927" spans="1:40" x14ac:dyDescent="0.2">
      <c r="A927" s="60"/>
      <c r="B927" s="32"/>
      <c r="C927" s="32"/>
      <c r="D927" s="32"/>
      <c r="E927" s="32"/>
      <c r="F927" s="45"/>
      <c r="G927" s="45"/>
      <c r="H927" s="45"/>
      <c r="I927" s="32"/>
      <c r="J927" s="9"/>
      <c r="K927" s="9"/>
      <c r="L927" s="45"/>
      <c r="M927" s="45"/>
      <c r="N927" s="45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9"/>
      <c r="AF927" s="32"/>
      <c r="AG927" s="46"/>
      <c r="AH927" s="46"/>
      <c r="AI927" s="47"/>
      <c r="AJ927" s="47"/>
      <c r="AK927" s="46"/>
      <c r="AL927" s="9"/>
      <c r="AM927" s="32"/>
      <c r="AN927" s="42"/>
    </row>
    <row r="928" spans="1:40" x14ac:dyDescent="0.2">
      <c r="A928" s="60"/>
      <c r="B928" s="32"/>
      <c r="C928" s="32"/>
      <c r="D928" s="32"/>
      <c r="E928" s="32"/>
      <c r="F928" s="45"/>
      <c r="G928" s="45"/>
      <c r="H928" s="45"/>
      <c r="I928" s="32"/>
      <c r="J928" s="9"/>
      <c r="K928" s="9"/>
      <c r="L928" s="45"/>
      <c r="M928" s="45"/>
      <c r="N928" s="45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9"/>
      <c r="AF928" s="32"/>
      <c r="AG928" s="46"/>
      <c r="AH928" s="46"/>
      <c r="AI928" s="47"/>
      <c r="AJ928" s="47"/>
      <c r="AK928" s="46"/>
      <c r="AL928" s="9"/>
      <c r="AM928" s="32"/>
      <c r="AN928" s="42"/>
    </row>
    <row r="929" spans="1:40" x14ac:dyDescent="0.2">
      <c r="A929" s="60"/>
      <c r="B929" s="32"/>
      <c r="C929" s="32"/>
      <c r="D929" s="32"/>
      <c r="E929" s="32"/>
      <c r="F929" s="45"/>
      <c r="G929" s="45"/>
      <c r="H929" s="45"/>
      <c r="I929" s="32"/>
      <c r="J929" s="9"/>
      <c r="K929" s="9"/>
      <c r="L929" s="45"/>
      <c r="M929" s="45"/>
      <c r="N929" s="45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9"/>
      <c r="AF929" s="32"/>
      <c r="AG929" s="46"/>
      <c r="AH929" s="46"/>
      <c r="AI929" s="47"/>
      <c r="AJ929" s="47"/>
      <c r="AK929" s="46"/>
      <c r="AL929" s="9"/>
      <c r="AM929" s="32"/>
      <c r="AN929" s="42"/>
    </row>
    <row r="930" spans="1:40" x14ac:dyDescent="0.2">
      <c r="A930" s="60"/>
      <c r="B930" s="32"/>
      <c r="C930" s="32"/>
      <c r="D930" s="32"/>
      <c r="E930" s="32"/>
      <c r="F930" s="45"/>
      <c r="G930" s="45"/>
      <c r="H930" s="45"/>
      <c r="I930" s="32"/>
      <c r="J930" s="9"/>
      <c r="K930" s="9"/>
      <c r="L930" s="45"/>
      <c r="M930" s="45"/>
      <c r="N930" s="45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9"/>
      <c r="AF930" s="32"/>
      <c r="AG930" s="46"/>
      <c r="AH930" s="46"/>
      <c r="AI930" s="47"/>
      <c r="AJ930" s="47"/>
      <c r="AK930" s="46"/>
      <c r="AL930" s="9"/>
      <c r="AM930" s="32"/>
      <c r="AN930" s="42"/>
    </row>
    <row r="931" spans="1:40" x14ac:dyDescent="0.2">
      <c r="A931" s="60"/>
      <c r="B931" s="32"/>
      <c r="C931" s="32"/>
      <c r="D931" s="32"/>
      <c r="E931" s="32"/>
      <c r="F931" s="45"/>
      <c r="G931" s="45"/>
      <c r="H931" s="45"/>
      <c r="I931" s="32"/>
      <c r="J931" s="9"/>
      <c r="K931" s="9"/>
      <c r="L931" s="45"/>
      <c r="M931" s="45"/>
      <c r="N931" s="45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9"/>
      <c r="AF931" s="32"/>
      <c r="AG931" s="46"/>
      <c r="AH931" s="46"/>
      <c r="AI931" s="47"/>
      <c r="AJ931" s="47"/>
      <c r="AK931" s="46"/>
      <c r="AL931" s="9"/>
      <c r="AM931" s="32"/>
      <c r="AN931" s="42"/>
    </row>
    <row r="932" spans="1:40" x14ac:dyDescent="0.2">
      <c r="A932" s="60"/>
      <c r="B932" s="32"/>
      <c r="C932" s="32"/>
      <c r="D932" s="32"/>
      <c r="E932" s="32"/>
      <c r="F932" s="45"/>
      <c r="G932" s="45"/>
      <c r="H932" s="45"/>
      <c r="I932" s="32"/>
      <c r="J932" s="9"/>
      <c r="K932" s="9"/>
      <c r="L932" s="45"/>
      <c r="M932" s="45"/>
      <c r="N932" s="45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9"/>
      <c r="AF932" s="32"/>
      <c r="AG932" s="46"/>
      <c r="AH932" s="46"/>
      <c r="AI932" s="47"/>
      <c r="AJ932" s="47"/>
      <c r="AK932" s="46"/>
      <c r="AL932" s="9"/>
      <c r="AM932" s="32"/>
      <c r="AN932" s="42"/>
    </row>
    <row r="933" spans="1:40" x14ac:dyDescent="0.2">
      <c r="A933" s="60"/>
      <c r="B933" s="32"/>
      <c r="C933" s="32"/>
      <c r="D933" s="32"/>
      <c r="E933" s="32"/>
      <c r="F933" s="45"/>
      <c r="G933" s="45"/>
      <c r="H933" s="45"/>
      <c r="I933" s="32"/>
      <c r="J933" s="9"/>
      <c r="K933" s="9"/>
      <c r="L933" s="45"/>
      <c r="M933" s="45"/>
      <c r="N933" s="45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9"/>
      <c r="AF933" s="32"/>
      <c r="AG933" s="46"/>
      <c r="AH933" s="46"/>
      <c r="AI933" s="47"/>
      <c r="AJ933" s="47"/>
      <c r="AK933" s="46"/>
      <c r="AL933" s="9"/>
      <c r="AM933" s="32"/>
      <c r="AN933" s="42"/>
    </row>
    <row r="934" spans="1:40" x14ac:dyDescent="0.2">
      <c r="A934" s="60"/>
      <c r="B934" s="32"/>
      <c r="C934" s="32"/>
      <c r="D934" s="32"/>
      <c r="E934" s="32"/>
      <c r="F934" s="45"/>
      <c r="G934" s="45"/>
      <c r="H934" s="45"/>
      <c r="I934" s="32"/>
      <c r="J934" s="9"/>
      <c r="K934" s="9"/>
      <c r="L934" s="45"/>
      <c r="M934" s="45"/>
      <c r="N934" s="45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9"/>
      <c r="AF934" s="32"/>
      <c r="AG934" s="46"/>
      <c r="AH934" s="46"/>
      <c r="AI934" s="47"/>
      <c r="AJ934" s="47"/>
      <c r="AK934" s="46"/>
      <c r="AL934" s="9"/>
      <c r="AM934" s="32"/>
      <c r="AN934" s="42"/>
    </row>
    <row r="935" spans="1:40" x14ac:dyDescent="0.2">
      <c r="A935" s="60"/>
      <c r="B935" s="32"/>
      <c r="C935" s="32"/>
      <c r="D935" s="32"/>
      <c r="E935" s="32"/>
      <c r="F935" s="45"/>
      <c r="G935" s="45"/>
      <c r="H935" s="45"/>
      <c r="I935" s="32"/>
      <c r="J935" s="9"/>
      <c r="K935" s="9"/>
      <c r="L935" s="45"/>
      <c r="M935" s="45"/>
      <c r="N935" s="45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9"/>
      <c r="AF935" s="32"/>
      <c r="AG935" s="46"/>
      <c r="AH935" s="46"/>
      <c r="AI935" s="47"/>
      <c r="AJ935" s="47"/>
      <c r="AK935" s="46"/>
      <c r="AL935" s="9"/>
      <c r="AM935" s="32"/>
      <c r="AN935" s="42"/>
    </row>
    <row r="936" spans="1:40" x14ac:dyDescent="0.2">
      <c r="A936" s="60"/>
      <c r="B936" s="32"/>
      <c r="C936" s="32"/>
      <c r="D936" s="32"/>
      <c r="E936" s="32"/>
      <c r="F936" s="45"/>
      <c r="G936" s="45"/>
      <c r="H936" s="45"/>
      <c r="I936" s="32"/>
      <c r="J936" s="9"/>
      <c r="K936" s="9"/>
      <c r="L936" s="45"/>
      <c r="M936" s="45"/>
      <c r="N936" s="45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9"/>
      <c r="AF936" s="32"/>
      <c r="AG936" s="46"/>
      <c r="AH936" s="46"/>
      <c r="AI936" s="47"/>
      <c r="AJ936" s="47"/>
      <c r="AK936" s="46"/>
      <c r="AL936" s="9"/>
      <c r="AM936" s="32"/>
      <c r="AN936" s="42"/>
    </row>
    <row r="937" spans="1:40" x14ac:dyDescent="0.2">
      <c r="A937" s="60"/>
      <c r="B937" s="32"/>
      <c r="C937" s="32"/>
      <c r="D937" s="32"/>
      <c r="E937" s="32"/>
      <c r="F937" s="45"/>
      <c r="G937" s="45"/>
      <c r="H937" s="45"/>
      <c r="I937" s="32"/>
      <c r="J937" s="9"/>
      <c r="K937" s="9"/>
      <c r="L937" s="45"/>
      <c r="M937" s="45"/>
      <c r="N937" s="45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9"/>
      <c r="AF937" s="32"/>
      <c r="AG937" s="46"/>
      <c r="AH937" s="46"/>
      <c r="AI937" s="47"/>
      <c r="AJ937" s="47"/>
      <c r="AK937" s="46"/>
      <c r="AL937" s="9"/>
      <c r="AM937" s="32"/>
      <c r="AN937" s="42"/>
    </row>
    <row r="938" spans="1:40" x14ac:dyDescent="0.2">
      <c r="A938" s="60"/>
      <c r="B938" s="32"/>
      <c r="C938" s="32"/>
      <c r="D938" s="32"/>
      <c r="E938" s="32"/>
      <c r="F938" s="45"/>
      <c r="G938" s="45"/>
      <c r="H938" s="45"/>
      <c r="I938" s="32"/>
      <c r="J938" s="9"/>
      <c r="K938" s="9"/>
      <c r="L938" s="45"/>
      <c r="M938" s="45"/>
      <c r="N938" s="45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9"/>
      <c r="AF938" s="32"/>
      <c r="AG938" s="46"/>
      <c r="AH938" s="46"/>
      <c r="AI938" s="47"/>
      <c r="AJ938" s="47"/>
      <c r="AK938" s="46"/>
      <c r="AL938" s="9"/>
      <c r="AM938" s="32"/>
      <c r="AN938" s="42"/>
    </row>
    <row r="939" spans="1:40" x14ac:dyDescent="0.2">
      <c r="A939" s="60"/>
      <c r="B939" s="32"/>
      <c r="C939" s="32"/>
      <c r="D939" s="32"/>
      <c r="E939" s="32"/>
      <c r="F939" s="45"/>
      <c r="G939" s="45"/>
      <c r="H939" s="45"/>
      <c r="I939" s="32"/>
      <c r="J939" s="9"/>
      <c r="K939" s="9"/>
      <c r="L939" s="45"/>
      <c r="M939" s="45"/>
      <c r="N939" s="45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9"/>
      <c r="AF939" s="32"/>
      <c r="AG939" s="46"/>
      <c r="AH939" s="46"/>
      <c r="AI939" s="47"/>
      <c r="AJ939" s="47"/>
      <c r="AK939" s="46"/>
      <c r="AL939" s="9"/>
      <c r="AM939" s="32"/>
      <c r="AN939" s="42"/>
    </row>
    <row r="940" spans="1:40" x14ac:dyDescent="0.2">
      <c r="A940" s="60"/>
      <c r="B940" s="32"/>
      <c r="C940" s="32"/>
      <c r="D940" s="32"/>
      <c r="E940" s="32"/>
      <c r="F940" s="45"/>
      <c r="G940" s="45"/>
      <c r="H940" s="45"/>
      <c r="I940" s="32"/>
      <c r="J940" s="9"/>
      <c r="K940" s="9"/>
      <c r="L940" s="45"/>
      <c r="M940" s="45"/>
      <c r="N940" s="45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9"/>
      <c r="AF940" s="32"/>
      <c r="AG940" s="46"/>
      <c r="AH940" s="46"/>
      <c r="AI940" s="47"/>
      <c r="AJ940" s="47"/>
      <c r="AK940" s="46"/>
      <c r="AL940" s="9"/>
      <c r="AM940" s="32"/>
      <c r="AN940" s="42"/>
    </row>
    <row r="941" spans="1:40" x14ac:dyDescent="0.2">
      <c r="A941" s="60"/>
      <c r="B941" s="32"/>
      <c r="C941" s="32"/>
      <c r="D941" s="32"/>
      <c r="E941" s="32"/>
      <c r="F941" s="45"/>
      <c r="G941" s="45"/>
      <c r="H941" s="45"/>
      <c r="I941" s="32"/>
      <c r="J941" s="9"/>
      <c r="K941" s="9"/>
      <c r="L941" s="45"/>
      <c r="M941" s="45"/>
      <c r="N941" s="45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9"/>
      <c r="AF941" s="32"/>
      <c r="AG941" s="46"/>
      <c r="AH941" s="46"/>
      <c r="AI941" s="47"/>
      <c r="AJ941" s="47"/>
      <c r="AK941" s="46"/>
      <c r="AL941" s="9"/>
      <c r="AM941" s="32"/>
      <c r="AN941" s="42"/>
    </row>
    <row r="942" spans="1:40" x14ac:dyDescent="0.2">
      <c r="A942" s="60"/>
      <c r="B942" s="32"/>
      <c r="C942" s="32"/>
      <c r="D942" s="32"/>
      <c r="E942" s="32"/>
      <c r="F942" s="45"/>
      <c r="G942" s="45"/>
      <c r="H942" s="45"/>
      <c r="I942" s="32"/>
      <c r="J942" s="9"/>
      <c r="K942" s="9"/>
      <c r="L942" s="45"/>
      <c r="M942" s="45"/>
      <c r="N942" s="45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9"/>
      <c r="AF942" s="32"/>
      <c r="AG942" s="46"/>
      <c r="AH942" s="46"/>
      <c r="AI942" s="47"/>
      <c r="AJ942" s="47"/>
      <c r="AK942" s="46"/>
      <c r="AL942" s="9"/>
      <c r="AM942" s="32"/>
      <c r="AN942" s="42"/>
    </row>
  </sheetData>
  <autoFilter ref="A6:AQ197" xr:uid="{00000000-0001-0000-0100-000000000000}"/>
  <sortState xmlns:xlrd2="http://schemas.microsoft.com/office/spreadsheetml/2017/richdata2" ref="B7:AM197">
    <sortCondition ref="C7:C197"/>
  </sortState>
  <mergeCells count="10">
    <mergeCell ref="B247:F247"/>
    <mergeCell ref="B248:F248"/>
    <mergeCell ref="B249:F249"/>
    <mergeCell ref="B1:AN1"/>
    <mergeCell ref="B2:F3"/>
    <mergeCell ref="B5:W5"/>
    <mergeCell ref="X5:AA5"/>
    <mergeCell ref="AB5:AD5"/>
    <mergeCell ref="AE5:AM5"/>
    <mergeCell ref="B246:F246"/>
  </mergeCells>
  <conditionalFormatting sqref="C130:D197">
    <cfRule type="expression" dxfId="19" priority="21">
      <formula>#REF!="SOLD"</formula>
    </cfRule>
    <cfRule type="expression" dxfId="18" priority="22">
      <formula>#REF!="CONTRACT SIGNED"</formula>
    </cfRule>
    <cfRule type="expression" dxfId="17" priority="23">
      <formula>#REF!="CONTRACT IN POST"</formula>
    </cfRule>
    <cfRule type="expression" dxfId="16" priority="24">
      <formula>#REF!="20% PAID"</formula>
    </cfRule>
    <cfRule type="expression" dxfId="15" priority="25">
      <formula>#REF!="CANCELATION REQUESTED"</formula>
    </cfRule>
    <cfRule type="expression" dxfId="14" priority="26">
      <formula>#REF!="CHEQUE CLEARING"</formula>
    </cfRule>
    <cfRule type="expression" dxfId="13" priority="27">
      <formula>#REF!="TEMPORARY HOLD"</formula>
    </cfRule>
    <cfRule type="expression" dxfId="12" priority="28">
      <formula>#REF!="RESERVED"</formula>
    </cfRule>
    <cfRule type="expression" dxfId="11" priority="29">
      <formula>#REF!="BLOCKED"</formula>
    </cfRule>
    <cfRule type="expression" dxfId="10" priority="30">
      <formula>#REF!="AVAILABLE"</formula>
    </cfRule>
  </conditionalFormatting>
  <conditionalFormatting sqref="E7:E197">
    <cfRule type="expression" dxfId="9" priority="1">
      <formula>#REF!="AVAILABLE"</formula>
    </cfRule>
    <cfRule type="expression" dxfId="8" priority="2">
      <formula>#REF!="SOLD"</formula>
    </cfRule>
    <cfRule type="expression" dxfId="7" priority="3">
      <formula>#REF!="CONTRACT SIGNED"</formula>
    </cfRule>
    <cfRule type="expression" dxfId="6" priority="4">
      <formula>#REF!="CONTRACT IN POST"</formula>
    </cfRule>
    <cfRule type="expression" dxfId="5" priority="5">
      <formula>#REF!="20% PAID"</formula>
    </cfRule>
    <cfRule type="expression" dxfId="4" priority="6">
      <formula>#REF!="CANCELATION REQUESTED"</formula>
    </cfRule>
    <cfRule type="expression" dxfId="3" priority="7">
      <formula>#REF!="CHEQUE CLEARING"</formula>
    </cfRule>
    <cfRule type="expression" dxfId="2" priority="8">
      <formula>#REF!="TEMPORARY HOLD"</formula>
    </cfRule>
    <cfRule type="expression" dxfId="1" priority="9">
      <formula>#REF!="RESERVED"</formula>
    </cfRule>
    <cfRule type="expression" dxfId="0" priority="10">
      <formula>#REF!="BLOCKED"</formula>
    </cfRule>
  </conditionalFormatting>
  <dataValidations count="6">
    <dataValidation type="list" allowBlank="1" showErrorMessage="1" sqref="AB7:AB197" xr:uid="{00000000-0002-0000-0100-000000000000}">
      <formula1>"SI,NO"</formula1>
    </dataValidation>
    <dataValidation type="list" allowBlank="1" showErrorMessage="1" sqref="O7:O197" xr:uid="{00000000-0002-0000-0100-000001000000}">
      <formula1>"SOLD,AVAILABLE"</formula1>
    </dataValidation>
    <dataValidation type="list" allowBlank="1" showErrorMessage="1" sqref="M130:M197" xr:uid="{00000000-0002-0000-0100-000002000000}">
      <formula1>"RETA,GENERAL"</formula1>
    </dataValidation>
    <dataValidation type="list" allowBlank="1" showErrorMessage="1" sqref="M7:M129" xr:uid="{00000000-0002-0000-0100-000005000000}">
      <formula1>"RETA,RETA OP FIN,GENERAL"</formula1>
    </dataValidation>
    <dataValidation type="list" allowBlank="1" showErrorMessage="1" sqref="W7:W197" xr:uid="{00000000-0002-0000-0100-000006000000}">
      <formula1>"CREDITO BANCARIO,RECURSO PROPIO,CREDITO RETA,EN CANCELACIÓN"</formula1>
    </dataValidation>
    <dataValidation type="list" allowBlank="1" showErrorMessage="1" sqref="N7:N197" xr:uid="{00000000-0002-0000-0100-000008000000}">
      <formula1>"COPROPIEDAD,FISICA,MORAL"</formula1>
    </dataValidation>
  </dataValidations>
  <pageMargins left="0.78749999999999998" right="0.78749999999999998" top="1.0527777777777778" bottom="1.0527777777777778" header="0" footer="0"/>
  <pageSetup orientation="portrait" r:id="rId1"/>
  <headerFooter>
    <oddHeader>&amp;C&amp;A</oddHeader>
    <oddFooter>&amp;CPágina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57FD2-76B6-4889-90F9-5B47AC34F4B0}">
  <dimension ref="B2:K195"/>
  <sheetViews>
    <sheetView showGridLines="0" workbookViewId="0">
      <selection activeCell="N12" sqref="N12"/>
    </sheetView>
  </sheetViews>
  <sheetFormatPr baseColWidth="10" defaultRowHeight="15" x14ac:dyDescent="0.2"/>
  <cols>
    <col min="1" max="1" width="6.33203125" customWidth="1"/>
    <col min="2" max="2" width="21.6640625" bestFit="1" customWidth="1"/>
    <col min="11" max="11" width="18.6640625" bestFit="1" customWidth="1"/>
  </cols>
  <sheetData>
    <row r="2" spans="2:11" x14ac:dyDescent="0.2">
      <c r="K2" s="17">
        <f>SUBTOTAL(9,K5:K195)</f>
        <v>653920000</v>
      </c>
    </row>
    <row r="3" spans="2:11" ht="16" thickBot="1" x14ac:dyDescent="0.25">
      <c r="B3" s="68" t="s">
        <v>662</v>
      </c>
      <c r="C3" s="68"/>
      <c r="D3" s="68"/>
      <c r="E3" s="69" t="s">
        <v>663</v>
      </c>
      <c r="F3" s="69"/>
      <c r="G3" s="69"/>
      <c r="H3" s="69"/>
      <c r="I3" s="69"/>
      <c r="J3" s="69"/>
      <c r="K3" s="70"/>
    </row>
    <row r="4" spans="2:11" x14ac:dyDescent="0.2">
      <c r="B4" s="71" t="s">
        <v>664</v>
      </c>
      <c r="C4" s="71" t="s">
        <v>665</v>
      </c>
      <c r="D4" s="72" t="s">
        <v>666</v>
      </c>
      <c r="E4" s="73" t="s">
        <v>667</v>
      </c>
      <c r="F4" s="73" t="s">
        <v>668</v>
      </c>
      <c r="G4" s="73" t="s">
        <v>669</v>
      </c>
      <c r="H4" s="73" t="s">
        <v>670</v>
      </c>
      <c r="I4" s="73" t="s">
        <v>671</v>
      </c>
      <c r="J4" s="71" t="s">
        <v>672</v>
      </c>
      <c r="K4" s="74" t="s">
        <v>673</v>
      </c>
    </row>
    <row r="5" spans="2:11" x14ac:dyDescent="0.2">
      <c r="B5" s="75" t="s">
        <v>674</v>
      </c>
      <c r="C5" s="75" t="s">
        <v>675</v>
      </c>
      <c r="D5" s="76" t="s">
        <v>676</v>
      </c>
      <c r="E5" s="77" t="s">
        <v>677</v>
      </c>
      <c r="F5" s="77" t="s">
        <v>131</v>
      </c>
      <c r="G5" s="77" t="s">
        <v>678</v>
      </c>
      <c r="H5" s="77">
        <v>3</v>
      </c>
      <c r="I5" s="77" t="s">
        <v>578</v>
      </c>
      <c r="J5" s="77">
        <v>117.88</v>
      </c>
      <c r="K5" s="70">
        <v>2600000</v>
      </c>
    </row>
    <row r="6" spans="2:11" x14ac:dyDescent="0.2">
      <c r="B6" s="75" t="s">
        <v>674</v>
      </c>
      <c r="C6" s="75" t="s">
        <v>675</v>
      </c>
      <c r="D6" s="76" t="s">
        <v>679</v>
      </c>
      <c r="E6" s="77" t="s">
        <v>677</v>
      </c>
      <c r="F6" s="77" t="s">
        <v>132</v>
      </c>
      <c r="G6" s="77" t="s">
        <v>680</v>
      </c>
      <c r="H6" s="77">
        <v>3</v>
      </c>
      <c r="I6" s="77" t="s">
        <v>578</v>
      </c>
      <c r="J6" s="77">
        <v>117.88</v>
      </c>
      <c r="K6" s="70">
        <v>2600000</v>
      </c>
    </row>
    <row r="7" spans="2:11" x14ac:dyDescent="0.2">
      <c r="B7" s="75" t="s">
        <v>674</v>
      </c>
      <c r="C7" s="75" t="s">
        <v>675</v>
      </c>
      <c r="D7" s="76" t="s">
        <v>681</v>
      </c>
      <c r="E7" s="77" t="s">
        <v>677</v>
      </c>
      <c r="F7" s="77" t="s">
        <v>133</v>
      </c>
      <c r="G7" s="77" t="s">
        <v>682</v>
      </c>
      <c r="H7" s="77">
        <v>3</v>
      </c>
      <c r="I7" s="77" t="s">
        <v>94</v>
      </c>
      <c r="J7" s="77">
        <v>117.88</v>
      </c>
      <c r="K7" s="70">
        <v>2600000</v>
      </c>
    </row>
    <row r="8" spans="2:11" x14ac:dyDescent="0.2">
      <c r="B8" s="75" t="s">
        <v>674</v>
      </c>
      <c r="C8" s="75" t="s">
        <v>675</v>
      </c>
      <c r="D8" s="76" t="s">
        <v>683</v>
      </c>
      <c r="E8" s="77" t="s">
        <v>677</v>
      </c>
      <c r="F8" s="77" t="s">
        <v>135</v>
      </c>
      <c r="G8" s="77" t="s">
        <v>682</v>
      </c>
      <c r="H8" s="77">
        <v>3</v>
      </c>
      <c r="I8" s="77" t="s">
        <v>94</v>
      </c>
      <c r="J8" s="77">
        <v>117.88</v>
      </c>
      <c r="K8" s="70">
        <v>2600000</v>
      </c>
    </row>
    <row r="9" spans="2:11" x14ac:dyDescent="0.2">
      <c r="B9" s="75" t="s">
        <v>674</v>
      </c>
      <c r="C9" s="75" t="s">
        <v>675</v>
      </c>
      <c r="D9" s="76" t="s">
        <v>684</v>
      </c>
      <c r="E9" s="77" t="s">
        <v>677</v>
      </c>
      <c r="F9" s="77" t="s">
        <v>136</v>
      </c>
      <c r="G9" s="77" t="s">
        <v>680</v>
      </c>
      <c r="H9" s="77">
        <v>3</v>
      </c>
      <c r="I9" s="77" t="s">
        <v>94</v>
      </c>
      <c r="J9" s="77">
        <v>117.88</v>
      </c>
      <c r="K9" s="70">
        <v>2600000</v>
      </c>
    </row>
    <row r="10" spans="2:11" x14ac:dyDescent="0.2">
      <c r="B10" s="75" t="s">
        <v>674</v>
      </c>
      <c r="C10" s="75" t="s">
        <v>675</v>
      </c>
      <c r="D10" s="76" t="s">
        <v>685</v>
      </c>
      <c r="E10" s="77" t="s">
        <v>677</v>
      </c>
      <c r="F10" s="77" t="s">
        <v>137</v>
      </c>
      <c r="G10" s="77" t="s">
        <v>678</v>
      </c>
      <c r="H10" s="77">
        <v>3</v>
      </c>
      <c r="I10" s="77" t="s">
        <v>578</v>
      </c>
      <c r="J10" s="77">
        <v>117.88</v>
      </c>
      <c r="K10" s="70">
        <v>2600000</v>
      </c>
    </row>
    <row r="11" spans="2:11" x14ac:dyDescent="0.2">
      <c r="B11" s="75" t="s">
        <v>674</v>
      </c>
      <c r="C11" s="75" t="s">
        <v>675</v>
      </c>
      <c r="D11" s="76" t="s">
        <v>686</v>
      </c>
      <c r="E11" s="77" t="s">
        <v>677</v>
      </c>
      <c r="F11" s="77" t="s">
        <v>138</v>
      </c>
      <c r="G11" s="77" t="s">
        <v>687</v>
      </c>
      <c r="H11" s="77">
        <v>3</v>
      </c>
      <c r="I11" s="77" t="s">
        <v>578</v>
      </c>
      <c r="J11" s="77">
        <v>117.88</v>
      </c>
      <c r="K11" s="70">
        <v>2600000</v>
      </c>
    </row>
    <row r="12" spans="2:11" x14ac:dyDescent="0.2">
      <c r="B12" s="75" t="s">
        <v>674</v>
      </c>
      <c r="C12" s="75" t="s">
        <v>675</v>
      </c>
      <c r="D12" s="76" t="s">
        <v>688</v>
      </c>
      <c r="E12" s="77" t="s">
        <v>677</v>
      </c>
      <c r="F12" s="77" t="s">
        <v>139</v>
      </c>
      <c r="G12" s="77" t="s">
        <v>678</v>
      </c>
      <c r="H12" s="77">
        <v>3</v>
      </c>
      <c r="I12" s="77" t="s">
        <v>578</v>
      </c>
      <c r="J12" s="77">
        <v>117.88</v>
      </c>
      <c r="K12" s="70">
        <v>2600000</v>
      </c>
    </row>
    <row r="13" spans="2:11" x14ac:dyDescent="0.2">
      <c r="B13" s="75" t="s">
        <v>674</v>
      </c>
      <c r="C13" s="75" t="s">
        <v>675</v>
      </c>
      <c r="D13" s="76" t="s">
        <v>689</v>
      </c>
      <c r="E13" s="77" t="s">
        <v>677</v>
      </c>
      <c r="F13" s="77" t="s">
        <v>140</v>
      </c>
      <c r="G13" s="77" t="s">
        <v>680</v>
      </c>
      <c r="H13" s="77">
        <v>3</v>
      </c>
      <c r="I13" s="77" t="s">
        <v>94</v>
      </c>
      <c r="J13" s="77">
        <v>117.88</v>
      </c>
      <c r="K13" s="70">
        <v>2600000</v>
      </c>
    </row>
    <row r="14" spans="2:11" x14ac:dyDescent="0.2">
      <c r="B14" s="75" t="s">
        <v>674</v>
      </c>
      <c r="C14" s="75" t="s">
        <v>675</v>
      </c>
      <c r="D14" s="76" t="s">
        <v>690</v>
      </c>
      <c r="E14" s="77" t="s">
        <v>677</v>
      </c>
      <c r="F14" s="77" t="s">
        <v>141</v>
      </c>
      <c r="G14" s="77" t="s">
        <v>682</v>
      </c>
      <c r="H14" s="77">
        <v>3</v>
      </c>
      <c r="I14" s="77" t="s">
        <v>94</v>
      </c>
      <c r="J14" s="77">
        <v>117.88</v>
      </c>
      <c r="K14" s="70">
        <v>2600000</v>
      </c>
    </row>
    <row r="15" spans="2:11" x14ac:dyDescent="0.2">
      <c r="B15" s="75" t="s">
        <v>674</v>
      </c>
      <c r="C15" s="75" t="s">
        <v>675</v>
      </c>
      <c r="D15" s="76" t="s">
        <v>691</v>
      </c>
      <c r="E15" s="77" t="s">
        <v>677</v>
      </c>
      <c r="F15" s="77" t="s">
        <v>144</v>
      </c>
      <c r="G15" s="77" t="s">
        <v>682</v>
      </c>
      <c r="H15" s="77">
        <v>3</v>
      </c>
      <c r="I15" s="77" t="s">
        <v>94</v>
      </c>
      <c r="J15" s="77">
        <v>117.88</v>
      </c>
      <c r="K15" s="70">
        <v>2600000</v>
      </c>
    </row>
    <row r="16" spans="2:11" x14ac:dyDescent="0.2">
      <c r="B16" s="75" t="s">
        <v>674</v>
      </c>
      <c r="C16" s="75" t="s">
        <v>675</v>
      </c>
      <c r="D16" s="76" t="s">
        <v>692</v>
      </c>
      <c r="E16" s="77" t="s">
        <v>677</v>
      </c>
      <c r="F16" s="77" t="s">
        <v>145</v>
      </c>
      <c r="G16" s="77" t="s">
        <v>680</v>
      </c>
      <c r="H16" s="77">
        <v>3</v>
      </c>
      <c r="I16" s="77" t="s">
        <v>578</v>
      </c>
      <c r="J16" s="77">
        <v>117.88</v>
      </c>
      <c r="K16" s="70">
        <v>2600000</v>
      </c>
    </row>
    <row r="17" spans="2:11" x14ac:dyDescent="0.2">
      <c r="B17" s="75" t="s">
        <v>674</v>
      </c>
      <c r="C17" s="75" t="s">
        <v>675</v>
      </c>
      <c r="D17" s="76" t="s">
        <v>693</v>
      </c>
      <c r="E17" s="77" t="s">
        <v>677</v>
      </c>
      <c r="F17" s="77" t="s">
        <v>146</v>
      </c>
      <c r="G17" s="77" t="s">
        <v>678</v>
      </c>
      <c r="H17" s="77">
        <v>3</v>
      </c>
      <c r="I17" s="77" t="s">
        <v>578</v>
      </c>
      <c r="J17" s="77">
        <v>117.88</v>
      </c>
      <c r="K17" s="70">
        <v>2600000</v>
      </c>
    </row>
    <row r="18" spans="2:11" x14ac:dyDescent="0.2">
      <c r="B18" s="75" t="s">
        <v>674</v>
      </c>
      <c r="C18" s="75" t="s">
        <v>675</v>
      </c>
      <c r="D18" s="76" t="s">
        <v>694</v>
      </c>
      <c r="E18" s="77" t="s">
        <v>677</v>
      </c>
      <c r="F18" s="77" t="s">
        <v>489</v>
      </c>
      <c r="G18" s="77" t="s">
        <v>678</v>
      </c>
      <c r="H18" s="77">
        <v>4</v>
      </c>
      <c r="I18" s="77" t="s">
        <v>578</v>
      </c>
      <c r="J18" s="77">
        <v>117.88</v>
      </c>
      <c r="K18" s="70">
        <v>2600000</v>
      </c>
    </row>
    <row r="19" spans="2:11" x14ac:dyDescent="0.2">
      <c r="B19" s="75" t="s">
        <v>674</v>
      </c>
      <c r="C19" s="75" t="s">
        <v>675</v>
      </c>
      <c r="D19" s="76" t="s">
        <v>695</v>
      </c>
      <c r="E19" s="77" t="s">
        <v>677</v>
      </c>
      <c r="F19" s="77" t="s">
        <v>147</v>
      </c>
      <c r="G19" s="77" t="s">
        <v>680</v>
      </c>
      <c r="H19" s="77">
        <v>4</v>
      </c>
      <c r="I19" s="77" t="s">
        <v>578</v>
      </c>
      <c r="J19" s="77">
        <v>117.88</v>
      </c>
      <c r="K19" s="70">
        <v>2600000</v>
      </c>
    </row>
    <row r="20" spans="2:11" x14ac:dyDescent="0.2">
      <c r="B20" s="75" t="s">
        <v>674</v>
      </c>
      <c r="C20" s="75" t="s">
        <v>675</v>
      </c>
      <c r="D20" s="76" t="s">
        <v>696</v>
      </c>
      <c r="E20" s="77" t="s">
        <v>677</v>
      </c>
      <c r="F20" s="77" t="s">
        <v>148</v>
      </c>
      <c r="G20" s="77" t="s">
        <v>682</v>
      </c>
      <c r="H20" s="77">
        <v>4</v>
      </c>
      <c r="I20" s="77" t="s">
        <v>94</v>
      </c>
      <c r="J20" s="77">
        <v>117.88</v>
      </c>
      <c r="K20" s="70">
        <v>2600000</v>
      </c>
    </row>
    <row r="21" spans="2:11" x14ac:dyDescent="0.2">
      <c r="B21" s="75" t="s">
        <v>674</v>
      </c>
      <c r="C21" s="75" t="s">
        <v>675</v>
      </c>
      <c r="D21" s="76" t="s">
        <v>697</v>
      </c>
      <c r="E21" s="77" t="s">
        <v>677</v>
      </c>
      <c r="F21" s="77" t="s">
        <v>150</v>
      </c>
      <c r="G21" s="77" t="s">
        <v>682</v>
      </c>
      <c r="H21" s="77">
        <v>4</v>
      </c>
      <c r="I21" s="77" t="s">
        <v>94</v>
      </c>
      <c r="J21" s="77">
        <v>117.88</v>
      </c>
      <c r="K21" s="70">
        <v>2600000</v>
      </c>
    </row>
    <row r="22" spans="2:11" x14ac:dyDescent="0.2">
      <c r="B22" s="75" t="s">
        <v>674</v>
      </c>
      <c r="C22" s="75" t="s">
        <v>675</v>
      </c>
      <c r="D22" s="76" t="s">
        <v>698</v>
      </c>
      <c r="E22" s="77" t="s">
        <v>677</v>
      </c>
      <c r="F22" s="77" t="s">
        <v>151</v>
      </c>
      <c r="G22" s="77" t="s">
        <v>680</v>
      </c>
      <c r="H22" s="77">
        <v>4</v>
      </c>
      <c r="I22" s="77" t="s">
        <v>94</v>
      </c>
      <c r="J22" s="77">
        <v>117.88</v>
      </c>
      <c r="K22" s="70">
        <v>2600000</v>
      </c>
    </row>
    <row r="23" spans="2:11" x14ac:dyDescent="0.2">
      <c r="B23" s="75" t="s">
        <v>674</v>
      </c>
      <c r="C23" s="75" t="s">
        <v>675</v>
      </c>
      <c r="D23" s="76" t="s">
        <v>699</v>
      </c>
      <c r="E23" s="77" t="s">
        <v>677</v>
      </c>
      <c r="F23" s="77" t="s">
        <v>152</v>
      </c>
      <c r="G23" s="77" t="s">
        <v>678</v>
      </c>
      <c r="H23" s="77">
        <v>4</v>
      </c>
      <c r="I23" s="77" t="s">
        <v>578</v>
      </c>
      <c r="J23" s="77">
        <v>117.88</v>
      </c>
      <c r="K23" s="70">
        <v>2600000</v>
      </c>
    </row>
    <row r="24" spans="2:11" x14ac:dyDescent="0.2">
      <c r="B24" s="75" t="s">
        <v>674</v>
      </c>
      <c r="C24" s="75" t="s">
        <v>675</v>
      </c>
      <c r="D24" s="76" t="s">
        <v>700</v>
      </c>
      <c r="E24" s="77" t="s">
        <v>677</v>
      </c>
      <c r="F24" s="77" t="s">
        <v>491</v>
      </c>
      <c r="G24" s="77" t="s">
        <v>687</v>
      </c>
      <c r="H24" s="77">
        <v>4</v>
      </c>
      <c r="I24" s="77" t="s">
        <v>578</v>
      </c>
      <c r="J24" s="77">
        <v>117.88</v>
      </c>
      <c r="K24" s="70">
        <v>2600000</v>
      </c>
    </row>
    <row r="25" spans="2:11" x14ac:dyDescent="0.2">
      <c r="B25" s="75" t="s">
        <v>674</v>
      </c>
      <c r="C25" s="75" t="s">
        <v>675</v>
      </c>
      <c r="D25" s="76" t="s">
        <v>701</v>
      </c>
      <c r="E25" s="77" t="s">
        <v>677</v>
      </c>
      <c r="F25" s="77" t="s">
        <v>153</v>
      </c>
      <c r="G25" s="77" t="s">
        <v>678</v>
      </c>
      <c r="H25" s="77">
        <v>4</v>
      </c>
      <c r="I25" s="77" t="s">
        <v>578</v>
      </c>
      <c r="J25" s="77">
        <v>117.88</v>
      </c>
      <c r="K25" s="70">
        <v>2600000</v>
      </c>
    </row>
    <row r="26" spans="2:11" x14ac:dyDescent="0.2">
      <c r="B26" s="75" t="s">
        <v>674</v>
      </c>
      <c r="C26" s="75" t="s">
        <v>675</v>
      </c>
      <c r="D26" s="76" t="s">
        <v>702</v>
      </c>
      <c r="E26" s="77" t="s">
        <v>677</v>
      </c>
      <c r="F26" s="77" t="s">
        <v>154</v>
      </c>
      <c r="G26" s="77" t="s">
        <v>680</v>
      </c>
      <c r="H26" s="77">
        <v>4</v>
      </c>
      <c r="I26" s="77" t="s">
        <v>94</v>
      </c>
      <c r="J26" s="77">
        <v>117.88</v>
      </c>
      <c r="K26" s="70">
        <v>2600000</v>
      </c>
    </row>
    <row r="27" spans="2:11" x14ac:dyDescent="0.2">
      <c r="B27" s="75" t="s">
        <v>674</v>
      </c>
      <c r="C27" s="75" t="s">
        <v>675</v>
      </c>
      <c r="D27" s="76" t="s">
        <v>703</v>
      </c>
      <c r="E27" s="77" t="s">
        <v>677</v>
      </c>
      <c r="F27" s="77" t="s">
        <v>155</v>
      </c>
      <c r="G27" s="77" t="s">
        <v>682</v>
      </c>
      <c r="H27" s="77">
        <v>4</v>
      </c>
      <c r="I27" s="77" t="s">
        <v>94</v>
      </c>
      <c r="J27" s="77">
        <v>117.88</v>
      </c>
      <c r="K27" s="70">
        <v>2600000</v>
      </c>
    </row>
    <row r="28" spans="2:11" x14ac:dyDescent="0.2">
      <c r="B28" s="75" t="s">
        <v>674</v>
      </c>
      <c r="C28" s="75" t="s">
        <v>675</v>
      </c>
      <c r="D28" s="76" t="s">
        <v>704</v>
      </c>
      <c r="E28" s="77" t="s">
        <v>677</v>
      </c>
      <c r="F28" s="77" t="s">
        <v>157</v>
      </c>
      <c r="G28" s="77" t="s">
        <v>682</v>
      </c>
      <c r="H28" s="77">
        <v>4</v>
      </c>
      <c r="I28" s="77" t="s">
        <v>94</v>
      </c>
      <c r="J28" s="77">
        <v>117.88</v>
      </c>
      <c r="K28" s="70">
        <v>2600000</v>
      </c>
    </row>
    <row r="29" spans="2:11" x14ac:dyDescent="0.2">
      <c r="B29" s="75" t="s">
        <v>674</v>
      </c>
      <c r="C29" s="75" t="s">
        <v>675</v>
      </c>
      <c r="D29" s="76" t="s">
        <v>705</v>
      </c>
      <c r="E29" s="77" t="s">
        <v>677</v>
      </c>
      <c r="F29" s="77" t="s">
        <v>158</v>
      </c>
      <c r="G29" s="77" t="s">
        <v>680</v>
      </c>
      <c r="H29" s="77">
        <v>4</v>
      </c>
      <c r="I29" s="77" t="s">
        <v>578</v>
      </c>
      <c r="J29" s="77">
        <v>117.88</v>
      </c>
      <c r="K29" s="70">
        <v>2600000</v>
      </c>
    </row>
    <row r="30" spans="2:11" x14ac:dyDescent="0.2">
      <c r="B30" s="75" t="s">
        <v>674</v>
      </c>
      <c r="C30" s="75" t="s">
        <v>675</v>
      </c>
      <c r="D30" s="76" t="s">
        <v>706</v>
      </c>
      <c r="E30" s="77" t="s">
        <v>677</v>
      </c>
      <c r="F30" s="77" t="s">
        <v>159</v>
      </c>
      <c r="G30" s="77" t="s">
        <v>678</v>
      </c>
      <c r="H30" s="77">
        <v>4</v>
      </c>
      <c r="I30" s="77" t="s">
        <v>578</v>
      </c>
      <c r="J30" s="77">
        <v>117.88</v>
      </c>
      <c r="K30" s="70">
        <v>2600000</v>
      </c>
    </row>
    <row r="31" spans="2:11" x14ac:dyDescent="0.2">
      <c r="B31" s="75" t="s">
        <v>674</v>
      </c>
      <c r="C31" s="75" t="s">
        <v>675</v>
      </c>
      <c r="D31" s="76" t="s">
        <v>707</v>
      </c>
      <c r="E31" s="77" t="s">
        <v>677</v>
      </c>
      <c r="F31" s="77" t="s">
        <v>160</v>
      </c>
      <c r="G31" s="77" t="s">
        <v>678</v>
      </c>
      <c r="H31" s="77">
        <v>5</v>
      </c>
      <c r="I31" s="77" t="s">
        <v>578</v>
      </c>
      <c r="J31" s="77">
        <v>117.88</v>
      </c>
      <c r="K31" s="70">
        <v>2600000</v>
      </c>
    </row>
    <row r="32" spans="2:11" x14ac:dyDescent="0.2">
      <c r="B32" s="75" t="s">
        <v>674</v>
      </c>
      <c r="C32" s="75" t="s">
        <v>675</v>
      </c>
      <c r="D32" s="76" t="s">
        <v>708</v>
      </c>
      <c r="E32" s="77" t="s">
        <v>677</v>
      </c>
      <c r="F32" s="77" t="s">
        <v>161</v>
      </c>
      <c r="G32" s="77" t="s">
        <v>680</v>
      </c>
      <c r="H32" s="77">
        <v>5</v>
      </c>
      <c r="I32" s="77" t="s">
        <v>578</v>
      </c>
      <c r="J32" s="77">
        <v>117.88</v>
      </c>
      <c r="K32" s="70">
        <v>2600000</v>
      </c>
    </row>
    <row r="33" spans="2:11" x14ac:dyDescent="0.2">
      <c r="B33" s="75" t="s">
        <v>674</v>
      </c>
      <c r="C33" s="75" t="s">
        <v>675</v>
      </c>
      <c r="D33" s="76" t="s">
        <v>709</v>
      </c>
      <c r="E33" s="77" t="s">
        <v>677</v>
      </c>
      <c r="F33" s="77" t="s">
        <v>162</v>
      </c>
      <c r="G33" s="77" t="s">
        <v>682</v>
      </c>
      <c r="H33" s="77">
        <v>5</v>
      </c>
      <c r="I33" s="77" t="s">
        <v>94</v>
      </c>
      <c r="J33" s="77">
        <v>117.88</v>
      </c>
      <c r="K33" s="70">
        <v>2600000</v>
      </c>
    </row>
    <row r="34" spans="2:11" x14ac:dyDescent="0.2">
      <c r="B34" s="75" t="s">
        <v>674</v>
      </c>
      <c r="C34" s="75" t="s">
        <v>675</v>
      </c>
      <c r="D34" s="76" t="s">
        <v>710</v>
      </c>
      <c r="E34" s="77" t="s">
        <v>677</v>
      </c>
      <c r="F34" s="77" t="s">
        <v>164</v>
      </c>
      <c r="G34" s="77" t="s">
        <v>682</v>
      </c>
      <c r="H34" s="77">
        <v>5</v>
      </c>
      <c r="I34" s="77" t="s">
        <v>94</v>
      </c>
      <c r="J34" s="77">
        <v>117.88</v>
      </c>
      <c r="K34" s="70">
        <v>2600000</v>
      </c>
    </row>
    <row r="35" spans="2:11" x14ac:dyDescent="0.2">
      <c r="B35" s="75" t="s">
        <v>674</v>
      </c>
      <c r="C35" s="75" t="s">
        <v>675</v>
      </c>
      <c r="D35" s="76" t="s">
        <v>711</v>
      </c>
      <c r="E35" s="77" t="s">
        <v>677</v>
      </c>
      <c r="F35" s="77" t="s">
        <v>165</v>
      </c>
      <c r="G35" s="77" t="s">
        <v>680</v>
      </c>
      <c r="H35" s="77">
        <v>5</v>
      </c>
      <c r="I35" s="77" t="s">
        <v>94</v>
      </c>
      <c r="J35" s="77">
        <v>117.88</v>
      </c>
      <c r="K35" s="70">
        <v>2600000</v>
      </c>
    </row>
    <row r="36" spans="2:11" x14ac:dyDescent="0.2">
      <c r="B36" s="75" t="s">
        <v>674</v>
      </c>
      <c r="C36" s="75" t="s">
        <v>675</v>
      </c>
      <c r="D36" s="76" t="s">
        <v>712</v>
      </c>
      <c r="E36" s="77" t="s">
        <v>677</v>
      </c>
      <c r="F36" s="77" t="s">
        <v>166</v>
      </c>
      <c r="G36" s="77" t="s">
        <v>678</v>
      </c>
      <c r="H36" s="77">
        <v>5</v>
      </c>
      <c r="I36" s="77" t="s">
        <v>578</v>
      </c>
      <c r="J36" s="77">
        <v>117.88</v>
      </c>
      <c r="K36" s="70">
        <v>2600000</v>
      </c>
    </row>
    <row r="37" spans="2:11" x14ac:dyDescent="0.2">
      <c r="B37" s="75" t="s">
        <v>674</v>
      </c>
      <c r="C37" s="75" t="s">
        <v>675</v>
      </c>
      <c r="D37" s="76" t="s">
        <v>713</v>
      </c>
      <c r="E37" s="77" t="s">
        <v>677</v>
      </c>
      <c r="F37" s="77" t="s">
        <v>167</v>
      </c>
      <c r="G37" s="77" t="s">
        <v>687</v>
      </c>
      <c r="H37" s="77">
        <v>5</v>
      </c>
      <c r="I37" s="77" t="s">
        <v>578</v>
      </c>
      <c r="J37" s="77">
        <v>117.88</v>
      </c>
      <c r="K37" s="70">
        <v>2600000</v>
      </c>
    </row>
    <row r="38" spans="2:11" x14ac:dyDescent="0.2">
      <c r="B38" s="75" t="s">
        <v>674</v>
      </c>
      <c r="C38" s="75" t="s">
        <v>675</v>
      </c>
      <c r="D38" s="76" t="s">
        <v>714</v>
      </c>
      <c r="E38" s="77" t="s">
        <v>677</v>
      </c>
      <c r="F38" s="77" t="s">
        <v>168</v>
      </c>
      <c r="G38" s="77" t="s">
        <v>678</v>
      </c>
      <c r="H38" s="77">
        <v>5</v>
      </c>
      <c r="I38" s="77" t="s">
        <v>578</v>
      </c>
      <c r="J38" s="77">
        <v>117.88</v>
      </c>
      <c r="K38" s="70">
        <v>2600000</v>
      </c>
    </row>
    <row r="39" spans="2:11" x14ac:dyDescent="0.2">
      <c r="B39" s="75" t="s">
        <v>674</v>
      </c>
      <c r="C39" s="75" t="s">
        <v>675</v>
      </c>
      <c r="D39" s="76" t="s">
        <v>715</v>
      </c>
      <c r="E39" s="77" t="s">
        <v>677</v>
      </c>
      <c r="F39" s="77" t="s">
        <v>169</v>
      </c>
      <c r="G39" s="77" t="s">
        <v>680</v>
      </c>
      <c r="H39" s="77">
        <v>5</v>
      </c>
      <c r="I39" s="77" t="s">
        <v>94</v>
      </c>
      <c r="J39" s="77">
        <v>117.88</v>
      </c>
      <c r="K39" s="70">
        <v>2600000</v>
      </c>
    </row>
    <row r="40" spans="2:11" x14ac:dyDescent="0.2">
      <c r="B40" s="75" t="s">
        <v>674</v>
      </c>
      <c r="C40" s="75" t="s">
        <v>675</v>
      </c>
      <c r="D40" s="76" t="s">
        <v>716</v>
      </c>
      <c r="E40" s="77" t="s">
        <v>677</v>
      </c>
      <c r="F40" s="77" t="s">
        <v>170</v>
      </c>
      <c r="G40" s="77" t="s">
        <v>682</v>
      </c>
      <c r="H40" s="77">
        <v>5</v>
      </c>
      <c r="I40" s="77" t="s">
        <v>94</v>
      </c>
      <c r="J40" s="77">
        <v>117.88</v>
      </c>
      <c r="K40" s="70">
        <v>2600000</v>
      </c>
    </row>
    <row r="41" spans="2:11" x14ac:dyDescent="0.2">
      <c r="B41" s="75" t="s">
        <v>674</v>
      </c>
      <c r="C41" s="75" t="s">
        <v>675</v>
      </c>
      <c r="D41" s="76" t="s">
        <v>717</v>
      </c>
      <c r="E41" s="77" t="s">
        <v>677</v>
      </c>
      <c r="F41" s="77" t="s">
        <v>171</v>
      </c>
      <c r="G41" s="77" t="s">
        <v>682</v>
      </c>
      <c r="H41" s="77">
        <v>5</v>
      </c>
      <c r="I41" s="77" t="s">
        <v>94</v>
      </c>
      <c r="J41" s="77">
        <v>117.88</v>
      </c>
      <c r="K41" s="70">
        <v>2600000</v>
      </c>
    </row>
    <row r="42" spans="2:11" x14ac:dyDescent="0.2">
      <c r="B42" s="75" t="s">
        <v>674</v>
      </c>
      <c r="C42" s="75" t="s">
        <v>675</v>
      </c>
      <c r="D42" s="76" t="s">
        <v>718</v>
      </c>
      <c r="E42" s="77" t="s">
        <v>677</v>
      </c>
      <c r="F42" s="77" t="s">
        <v>172</v>
      </c>
      <c r="G42" s="77" t="s">
        <v>680</v>
      </c>
      <c r="H42" s="77">
        <v>5</v>
      </c>
      <c r="I42" s="77" t="s">
        <v>578</v>
      </c>
      <c r="J42" s="77">
        <v>117.88</v>
      </c>
      <c r="K42" s="70">
        <v>2600000</v>
      </c>
    </row>
    <row r="43" spans="2:11" x14ac:dyDescent="0.2">
      <c r="B43" s="75" t="s">
        <v>674</v>
      </c>
      <c r="C43" s="75" t="s">
        <v>675</v>
      </c>
      <c r="D43" s="76" t="s">
        <v>719</v>
      </c>
      <c r="E43" s="77" t="s">
        <v>677</v>
      </c>
      <c r="F43" s="77" t="s">
        <v>173</v>
      </c>
      <c r="G43" s="77" t="s">
        <v>678</v>
      </c>
      <c r="H43" s="77">
        <v>5</v>
      </c>
      <c r="I43" s="77" t="s">
        <v>578</v>
      </c>
      <c r="J43" s="77">
        <v>117.88</v>
      </c>
      <c r="K43" s="70">
        <v>2600000</v>
      </c>
    </row>
    <row r="44" spans="2:11" x14ac:dyDescent="0.2">
      <c r="B44" s="75" t="s">
        <v>674</v>
      </c>
      <c r="C44" s="75" t="s">
        <v>675</v>
      </c>
      <c r="D44" s="76" t="s">
        <v>720</v>
      </c>
      <c r="E44" s="77" t="s">
        <v>677</v>
      </c>
      <c r="F44" s="77" t="s">
        <v>174</v>
      </c>
      <c r="G44" s="77" t="s">
        <v>678</v>
      </c>
      <c r="H44" s="77">
        <v>6</v>
      </c>
      <c r="I44" s="77" t="s">
        <v>578</v>
      </c>
      <c r="J44" s="77">
        <v>117.88</v>
      </c>
      <c r="K44" s="70">
        <v>2600000</v>
      </c>
    </row>
    <row r="45" spans="2:11" x14ac:dyDescent="0.2">
      <c r="B45" s="75" t="s">
        <v>674</v>
      </c>
      <c r="C45" s="75" t="s">
        <v>675</v>
      </c>
      <c r="D45" s="76" t="s">
        <v>721</v>
      </c>
      <c r="E45" s="77" t="s">
        <v>677</v>
      </c>
      <c r="F45" s="77" t="s">
        <v>175</v>
      </c>
      <c r="G45" s="77" t="s">
        <v>680</v>
      </c>
      <c r="H45" s="77">
        <v>6</v>
      </c>
      <c r="I45" s="77" t="s">
        <v>578</v>
      </c>
      <c r="J45" s="77">
        <v>117.88</v>
      </c>
      <c r="K45" s="70">
        <v>2600000</v>
      </c>
    </row>
    <row r="46" spans="2:11" x14ac:dyDescent="0.2">
      <c r="B46" s="75" t="s">
        <v>674</v>
      </c>
      <c r="C46" s="75" t="s">
        <v>675</v>
      </c>
      <c r="D46" s="76" t="s">
        <v>722</v>
      </c>
      <c r="E46" s="77" t="s">
        <v>677</v>
      </c>
      <c r="F46" s="77" t="s">
        <v>176</v>
      </c>
      <c r="G46" s="77" t="s">
        <v>682</v>
      </c>
      <c r="H46" s="77">
        <v>6</v>
      </c>
      <c r="I46" s="77" t="s">
        <v>94</v>
      </c>
      <c r="J46" s="77">
        <v>117.88</v>
      </c>
      <c r="K46" s="70">
        <v>2600000</v>
      </c>
    </row>
    <row r="47" spans="2:11" x14ac:dyDescent="0.2">
      <c r="B47" s="75" t="s">
        <v>674</v>
      </c>
      <c r="C47" s="75" t="s">
        <v>675</v>
      </c>
      <c r="D47" s="76" t="s">
        <v>723</v>
      </c>
      <c r="E47" s="77" t="s">
        <v>677</v>
      </c>
      <c r="F47" s="77" t="s">
        <v>179</v>
      </c>
      <c r="G47" s="77" t="s">
        <v>682</v>
      </c>
      <c r="H47" s="77">
        <v>6</v>
      </c>
      <c r="I47" s="77" t="s">
        <v>94</v>
      </c>
      <c r="J47" s="77">
        <v>117.88</v>
      </c>
      <c r="K47" s="70">
        <v>2600000</v>
      </c>
    </row>
    <row r="48" spans="2:11" x14ac:dyDescent="0.2">
      <c r="B48" s="75" t="s">
        <v>674</v>
      </c>
      <c r="C48" s="75" t="s">
        <v>675</v>
      </c>
      <c r="D48" s="76" t="s">
        <v>724</v>
      </c>
      <c r="E48" s="77" t="s">
        <v>677</v>
      </c>
      <c r="F48" s="77" t="s">
        <v>180</v>
      </c>
      <c r="G48" s="77" t="s">
        <v>680</v>
      </c>
      <c r="H48" s="77">
        <v>6</v>
      </c>
      <c r="I48" s="77" t="s">
        <v>94</v>
      </c>
      <c r="J48" s="77">
        <v>117.88</v>
      </c>
      <c r="K48" s="70">
        <v>2600000</v>
      </c>
    </row>
    <row r="49" spans="2:11" x14ac:dyDescent="0.2">
      <c r="B49" s="75" t="s">
        <v>674</v>
      </c>
      <c r="C49" s="75" t="s">
        <v>675</v>
      </c>
      <c r="D49" s="76" t="s">
        <v>725</v>
      </c>
      <c r="E49" s="77" t="s">
        <v>677</v>
      </c>
      <c r="F49" s="77" t="s">
        <v>181</v>
      </c>
      <c r="G49" s="77" t="s">
        <v>678</v>
      </c>
      <c r="H49" s="77">
        <v>6</v>
      </c>
      <c r="I49" s="77" t="s">
        <v>578</v>
      </c>
      <c r="J49" s="77">
        <v>117.88</v>
      </c>
      <c r="K49" s="70">
        <v>2600000</v>
      </c>
    </row>
    <row r="50" spans="2:11" x14ac:dyDescent="0.2">
      <c r="B50" s="75" t="s">
        <v>674</v>
      </c>
      <c r="C50" s="75" t="s">
        <v>675</v>
      </c>
      <c r="D50" s="76" t="s">
        <v>726</v>
      </c>
      <c r="E50" s="77" t="s">
        <v>677</v>
      </c>
      <c r="F50" s="77" t="s">
        <v>182</v>
      </c>
      <c r="G50" s="77" t="s">
        <v>687</v>
      </c>
      <c r="H50" s="77">
        <v>6</v>
      </c>
      <c r="I50" s="77" t="s">
        <v>578</v>
      </c>
      <c r="J50" s="77">
        <v>117.88</v>
      </c>
      <c r="K50" s="70">
        <v>2600000</v>
      </c>
    </row>
    <row r="51" spans="2:11" x14ac:dyDescent="0.2">
      <c r="B51" s="75" t="s">
        <v>674</v>
      </c>
      <c r="C51" s="75" t="s">
        <v>675</v>
      </c>
      <c r="D51" s="76" t="s">
        <v>727</v>
      </c>
      <c r="E51" s="77" t="s">
        <v>677</v>
      </c>
      <c r="F51" s="77" t="s">
        <v>183</v>
      </c>
      <c r="G51" s="77" t="s">
        <v>678</v>
      </c>
      <c r="H51" s="77">
        <v>6</v>
      </c>
      <c r="I51" s="77" t="s">
        <v>578</v>
      </c>
      <c r="J51" s="77">
        <v>117.88</v>
      </c>
      <c r="K51" s="70">
        <v>2600000</v>
      </c>
    </row>
    <row r="52" spans="2:11" x14ac:dyDescent="0.2">
      <c r="B52" s="75" t="s">
        <v>674</v>
      </c>
      <c r="C52" s="75" t="s">
        <v>675</v>
      </c>
      <c r="D52" s="76" t="s">
        <v>728</v>
      </c>
      <c r="E52" s="77" t="s">
        <v>677</v>
      </c>
      <c r="F52" s="77" t="s">
        <v>184</v>
      </c>
      <c r="G52" s="77" t="s">
        <v>680</v>
      </c>
      <c r="H52" s="77">
        <v>6</v>
      </c>
      <c r="I52" s="77" t="s">
        <v>94</v>
      </c>
      <c r="J52" s="77">
        <v>117.88</v>
      </c>
      <c r="K52" s="70">
        <v>2600000</v>
      </c>
    </row>
    <row r="53" spans="2:11" x14ac:dyDescent="0.2">
      <c r="B53" s="75" t="s">
        <v>674</v>
      </c>
      <c r="C53" s="75" t="s">
        <v>675</v>
      </c>
      <c r="D53" s="76" t="s">
        <v>729</v>
      </c>
      <c r="E53" s="77" t="s">
        <v>677</v>
      </c>
      <c r="F53" s="77" t="s">
        <v>185</v>
      </c>
      <c r="G53" s="77" t="s">
        <v>682</v>
      </c>
      <c r="H53" s="77">
        <v>6</v>
      </c>
      <c r="I53" s="77" t="s">
        <v>94</v>
      </c>
      <c r="J53" s="77">
        <v>117.88</v>
      </c>
      <c r="K53" s="70">
        <v>2600000</v>
      </c>
    </row>
    <row r="54" spans="2:11" x14ac:dyDescent="0.2">
      <c r="B54" s="75" t="s">
        <v>674</v>
      </c>
      <c r="C54" s="75" t="s">
        <v>675</v>
      </c>
      <c r="D54" s="76" t="s">
        <v>730</v>
      </c>
      <c r="E54" s="77" t="s">
        <v>677</v>
      </c>
      <c r="F54" s="77" t="s">
        <v>187</v>
      </c>
      <c r="G54" s="77" t="s">
        <v>682</v>
      </c>
      <c r="H54" s="77">
        <v>6</v>
      </c>
      <c r="I54" s="77" t="s">
        <v>94</v>
      </c>
      <c r="J54" s="77">
        <v>117.88</v>
      </c>
      <c r="K54" s="70">
        <v>2600000</v>
      </c>
    </row>
    <row r="55" spans="2:11" x14ac:dyDescent="0.2">
      <c r="B55" s="75" t="s">
        <v>674</v>
      </c>
      <c r="C55" s="75" t="s">
        <v>675</v>
      </c>
      <c r="D55" s="76" t="s">
        <v>731</v>
      </c>
      <c r="E55" s="77" t="s">
        <v>677</v>
      </c>
      <c r="F55" s="77" t="s">
        <v>188</v>
      </c>
      <c r="G55" s="77" t="s">
        <v>680</v>
      </c>
      <c r="H55" s="77">
        <v>6</v>
      </c>
      <c r="I55" s="77" t="s">
        <v>578</v>
      </c>
      <c r="J55" s="77">
        <v>117.88</v>
      </c>
      <c r="K55" s="70">
        <v>2600000</v>
      </c>
    </row>
    <row r="56" spans="2:11" x14ac:dyDescent="0.2">
      <c r="B56" s="75" t="s">
        <v>674</v>
      </c>
      <c r="C56" s="75" t="s">
        <v>675</v>
      </c>
      <c r="D56" s="76" t="s">
        <v>732</v>
      </c>
      <c r="E56" s="77" t="s">
        <v>677</v>
      </c>
      <c r="F56" s="77" t="s">
        <v>189</v>
      </c>
      <c r="G56" s="77" t="s">
        <v>678</v>
      </c>
      <c r="H56" s="77">
        <v>6</v>
      </c>
      <c r="I56" s="77" t="s">
        <v>578</v>
      </c>
      <c r="J56" s="77">
        <v>117.88</v>
      </c>
      <c r="K56" s="70">
        <v>2600000</v>
      </c>
    </row>
    <row r="57" spans="2:11" x14ac:dyDescent="0.2">
      <c r="B57" s="75" t="s">
        <v>674</v>
      </c>
      <c r="C57" s="75" t="s">
        <v>675</v>
      </c>
      <c r="D57" s="76" t="s">
        <v>733</v>
      </c>
      <c r="E57" s="77" t="s">
        <v>677</v>
      </c>
      <c r="F57" s="77" t="s">
        <v>190</v>
      </c>
      <c r="G57" s="77" t="s">
        <v>678</v>
      </c>
      <c r="H57" s="77">
        <v>7</v>
      </c>
      <c r="I57" s="77" t="s">
        <v>578</v>
      </c>
      <c r="J57" s="77">
        <v>117.88</v>
      </c>
      <c r="K57" s="70">
        <v>2600000</v>
      </c>
    </row>
    <row r="58" spans="2:11" x14ac:dyDescent="0.2">
      <c r="B58" s="75" t="s">
        <v>674</v>
      </c>
      <c r="C58" s="75" t="s">
        <v>675</v>
      </c>
      <c r="D58" s="76" t="s">
        <v>734</v>
      </c>
      <c r="E58" s="77" t="s">
        <v>677</v>
      </c>
      <c r="F58" s="77" t="s">
        <v>191</v>
      </c>
      <c r="G58" s="77" t="s">
        <v>680</v>
      </c>
      <c r="H58" s="77">
        <v>7</v>
      </c>
      <c r="I58" s="77" t="s">
        <v>578</v>
      </c>
      <c r="J58" s="77">
        <v>117.88</v>
      </c>
      <c r="K58" s="70">
        <v>2600000</v>
      </c>
    </row>
    <row r="59" spans="2:11" x14ac:dyDescent="0.2">
      <c r="B59" s="75" t="s">
        <v>674</v>
      </c>
      <c r="C59" s="75" t="s">
        <v>675</v>
      </c>
      <c r="D59" s="76" t="s">
        <v>735</v>
      </c>
      <c r="E59" s="77" t="s">
        <v>677</v>
      </c>
      <c r="F59" s="77" t="s">
        <v>192</v>
      </c>
      <c r="G59" s="77" t="s">
        <v>682</v>
      </c>
      <c r="H59" s="77">
        <v>7</v>
      </c>
      <c r="I59" s="77" t="s">
        <v>94</v>
      </c>
      <c r="J59" s="77">
        <v>117.88</v>
      </c>
      <c r="K59" s="70">
        <v>2600000</v>
      </c>
    </row>
    <row r="60" spans="2:11" x14ac:dyDescent="0.2">
      <c r="B60" s="75" t="s">
        <v>674</v>
      </c>
      <c r="C60" s="75" t="s">
        <v>675</v>
      </c>
      <c r="D60" s="76" t="s">
        <v>736</v>
      </c>
      <c r="E60" s="77" t="s">
        <v>677</v>
      </c>
      <c r="F60" s="77" t="s">
        <v>193</v>
      </c>
      <c r="G60" s="77" t="s">
        <v>682</v>
      </c>
      <c r="H60" s="77">
        <v>7</v>
      </c>
      <c r="I60" s="77" t="s">
        <v>94</v>
      </c>
      <c r="J60" s="77">
        <v>117.88</v>
      </c>
      <c r="K60" s="70">
        <v>2600000</v>
      </c>
    </row>
    <row r="61" spans="2:11" x14ac:dyDescent="0.2">
      <c r="B61" s="75" t="s">
        <v>674</v>
      </c>
      <c r="C61" s="75" t="s">
        <v>675</v>
      </c>
      <c r="D61" s="76" t="s">
        <v>737</v>
      </c>
      <c r="E61" s="77" t="s">
        <v>677</v>
      </c>
      <c r="F61" s="77" t="s">
        <v>194</v>
      </c>
      <c r="G61" s="77" t="s">
        <v>680</v>
      </c>
      <c r="H61" s="77">
        <v>7</v>
      </c>
      <c r="I61" s="77" t="s">
        <v>94</v>
      </c>
      <c r="J61" s="77">
        <v>117.88</v>
      </c>
      <c r="K61" s="70">
        <v>2600000</v>
      </c>
    </row>
    <row r="62" spans="2:11" x14ac:dyDescent="0.2">
      <c r="B62" s="75" t="s">
        <v>674</v>
      </c>
      <c r="C62" s="75" t="s">
        <v>675</v>
      </c>
      <c r="D62" s="76" t="s">
        <v>738</v>
      </c>
      <c r="E62" s="77" t="s">
        <v>677</v>
      </c>
      <c r="F62" s="77" t="s">
        <v>195</v>
      </c>
      <c r="G62" s="77" t="s">
        <v>678</v>
      </c>
      <c r="H62" s="77">
        <v>7</v>
      </c>
      <c r="I62" s="77" t="s">
        <v>578</v>
      </c>
      <c r="J62" s="77">
        <v>117.88</v>
      </c>
      <c r="K62" s="70">
        <v>2600000</v>
      </c>
    </row>
    <row r="63" spans="2:11" x14ac:dyDescent="0.2">
      <c r="B63" s="75" t="s">
        <v>674</v>
      </c>
      <c r="C63" s="75" t="s">
        <v>675</v>
      </c>
      <c r="D63" s="76" t="s">
        <v>739</v>
      </c>
      <c r="E63" s="77" t="s">
        <v>677</v>
      </c>
      <c r="F63" s="77" t="s">
        <v>196</v>
      </c>
      <c r="G63" s="77" t="s">
        <v>687</v>
      </c>
      <c r="H63" s="77">
        <v>7</v>
      </c>
      <c r="I63" s="77" t="s">
        <v>94</v>
      </c>
      <c r="J63" s="77">
        <v>117.88</v>
      </c>
      <c r="K63" s="70">
        <v>2600000</v>
      </c>
    </row>
    <row r="64" spans="2:11" x14ac:dyDescent="0.2">
      <c r="B64" s="75" t="s">
        <v>674</v>
      </c>
      <c r="C64" s="75" t="s">
        <v>675</v>
      </c>
      <c r="D64" s="76" t="s">
        <v>740</v>
      </c>
      <c r="E64" s="77" t="s">
        <v>677</v>
      </c>
      <c r="F64" s="77" t="s">
        <v>197</v>
      </c>
      <c r="G64" s="77" t="s">
        <v>678</v>
      </c>
      <c r="H64" s="77">
        <v>7</v>
      </c>
      <c r="I64" s="77" t="s">
        <v>578</v>
      </c>
      <c r="J64" s="77">
        <v>117.88</v>
      </c>
      <c r="K64" s="70">
        <v>2600000</v>
      </c>
    </row>
    <row r="65" spans="2:11" x14ac:dyDescent="0.2">
      <c r="B65" s="75" t="s">
        <v>674</v>
      </c>
      <c r="C65" s="75" t="s">
        <v>675</v>
      </c>
      <c r="D65" s="76" t="s">
        <v>741</v>
      </c>
      <c r="E65" s="77" t="s">
        <v>677</v>
      </c>
      <c r="F65" s="77" t="s">
        <v>499</v>
      </c>
      <c r="G65" s="77" t="s">
        <v>680</v>
      </c>
      <c r="H65" s="77">
        <v>7</v>
      </c>
      <c r="I65" s="77" t="s">
        <v>94</v>
      </c>
      <c r="J65" s="77">
        <v>117.88</v>
      </c>
      <c r="K65" s="70">
        <v>2600000</v>
      </c>
    </row>
    <row r="66" spans="2:11" x14ac:dyDescent="0.2">
      <c r="B66" s="75" t="s">
        <v>674</v>
      </c>
      <c r="C66" s="75" t="s">
        <v>675</v>
      </c>
      <c r="D66" s="76" t="s">
        <v>742</v>
      </c>
      <c r="E66" s="77" t="s">
        <v>677</v>
      </c>
      <c r="F66" s="77" t="s">
        <v>198</v>
      </c>
      <c r="G66" s="77" t="s">
        <v>682</v>
      </c>
      <c r="H66" s="77">
        <v>7</v>
      </c>
      <c r="I66" s="77" t="s">
        <v>94</v>
      </c>
      <c r="J66" s="77">
        <v>117.88</v>
      </c>
      <c r="K66" s="70">
        <v>2600000</v>
      </c>
    </row>
    <row r="67" spans="2:11" x14ac:dyDescent="0.2">
      <c r="B67" s="75" t="s">
        <v>674</v>
      </c>
      <c r="C67" s="75" t="s">
        <v>675</v>
      </c>
      <c r="D67" s="76" t="s">
        <v>743</v>
      </c>
      <c r="E67" s="77" t="s">
        <v>677</v>
      </c>
      <c r="F67" s="77" t="s">
        <v>200</v>
      </c>
      <c r="G67" s="77" t="s">
        <v>682</v>
      </c>
      <c r="H67" s="77">
        <v>7</v>
      </c>
      <c r="I67" s="77" t="s">
        <v>94</v>
      </c>
      <c r="J67" s="77">
        <v>117.88</v>
      </c>
      <c r="K67" s="70">
        <v>2600000</v>
      </c>
    </row>
    <row r="68" spans="2:11" x14ac:dyDescent="0.2">
      <c r="B68" s="75" t="s">
        <v>674</v>
      </c>
      <c r="C68" s="75" t="s">
        <v>675</v>
      </c>
      <c r="D68" s="76" t="s">
        <v>744</v>
      </c>
      <c r="E68" s="77" t="s">
        <v>677</v>
      </c>
      <c r="F68" s="77" t="s">
        <v>201</v>
      </c>
      <c r="G68" s="77" t="s">
        <v>680</v>
      </c>
      <c r="H68" s="77">
        <v>7</v>
      </c>
      <c r="I68" s="77" t="s">
        <v>578</v>
      </c>
      <c r="J68" s="77">
        <v>117.88</v>
      </c>
      <c r="K68" s="70">
        <v>2600000</v>
      </c>
    </row>
    <row r="69" spans="2:11" x14ac:dyDescent="0.2">
      <c r="B69" s="75" t="s">
        <v>674</v>
      </c>
      <c r="C69" s="75" t="s">
        <v>675</v>
      </c>
      <c r="D69" s="76" t="s">
        <v>745</v>
      </c>
      <c r="E69" s="77" t="s">
        <v>677</v>
      </c>
      <c r="F69" s="77" t="s">
        <v>202</v>
      </c>
      <c r="G69" s="77" t="s">
        <v>678</v>
      </c>
      <c r="H69" s="77">
        <v>7</v>
      </c>
      <c r="I69" s="77" t="s">
        <v>578</v>
      </c>
      <c r="J69" s="77">
        <v>117.88</v>
      </c>
      <c r="K69" s="70">
        <v>2600000</v>
      </c>
    </row>
    <row r="70" spans="2:11" x14ac:dyDescent="0.2">
      <c r="B70" s="75" t="s">
        <v>674</v>
      </c>
      <c r="C70" s="75" t="s">
        <v>675</v>
      </c>
      <c r="D70" s="76" t="s">
        <v>746</v>
      </c>
      <c r="E70" s="77" t="s">
        <v>677</v>
      </c>
      <c r="F70" s="77" t="s">
        <v>503</v>
      </c>
      <c r="G70" s="77" t="s">
        <v>687</v>
      </c>
      <c r="H70" s="77">
        <v>8</v>
      </c>
      <c r="I70" s="77" t="s">
        <v>94</v>
      </c>
      <c r="J70" s="77">
        <v>117.88</v>
      </c>
      <c r="K70" s="70">
        <v>2600000</v>
      </c>
    </row>
    <row r="71" spans="2:11" x14ac:dyDescent="0.2">
      <c r="B71" s="75" t="s">
        <v>674</v>
      </c>
      <c r="C71" s="75" t="s">
        <v>675</v>
      </c>
      <c r="D71" s="76" t="s">
        <v>747</v>
      </c>
      <c r="E71" s="77" t="s">
        <v>677</v>
      </c>
      <c r="F71" s="77" t="s">
        <v>509</v>
      </c>
      <c r="G71" s="77" t="s">
        <v>687</v>
      </c>
      <c r="H71" s="77">
        <v>9</v>
      </c>
      <c r="I71" s="77" t="s">
        <v>94</v>
      </c>
      <c r="J71" s="77">
        <v>117.88</v>
      </c>
      <c r="K71" s="70">
        <v>2600000</v>
      </c>
    </row>
    <row r="72" spans="2:11" x14ac:dyDescent="0.2">
      <c r="B72" s="75" t="s">
        <v>674</v>
      </c>
      <c r="C72" s="75" t="s">
        <v>675</v>
      </c>
      <c r="D72" s="76" t="s">
        <v>748</v>
      </c>
      <c r="E72" s="77" t="s">
        <v>677</v>
      </c>
      <c r="F72" s="77" t="s">
        <v>452</v>
      </c>
      <c r="G72" s="77" t="s">
        <v>687</v>
      </c>
      <c r="H72" s="77">
        <v>10</v>
      </c>
      <c r="I72" s="77" t="s">
        <v>94</v>
      </c>
      <c r="J72" s="77">
        <v>117.88</v>
      </c>
      <c r="K72" s="70">
        <v>2600000</v>
      </c>
    </row>
    <row r="73" spans="2:11" x14ac:dyDescent="0.2">
      <c r="B73" s="75" t="s">
        <v>674</v>
      </c>
      <c r="C73" s="75" t="s">
        <v>675</v>
      </c>
      <c r="D73" s="76" t="s">
        <v>749</v>
      </c>
      <c r="E73" s="77" t="s">
        <v>677</v>
      </c>
      <c r="F73" s="77" t="s">
        <v>239</v>
      </c>
      <c r="G73" s="77" t="s">
        <v>687</v>
      </c>
      <c r="H73" s="77">
        <v>12</v>
      </c>
      <c r="I73" s="77" t="s">
        <v>94</v>
      </c>
      <c r="J73" s="77">
        <v>117.88</v>
      </c>
      <c r="K73" s="70">
        <v>2600000</v>
      </c>
    </row>
    <row r="74" spans="2:11" x14ac:dyDescent="0.2">
      <c r="B74" s="75" t="s">
        <v>674</v>
      </c>
      <c r="C74" s="75" t="s">
        <v>675</v>
      </c>
      <c r="D74" s="76" t="s">
        <v>750</v>
      </c>
      <c r="E74" s="77" t="s">
        <v>677</v>
      </c>
      <c r="F74" s="77" t="s">
        <v>501</v>
      </c>
      <c r="G74" s="77" t="s">
        <v>83</v>
      </c>
      <c r="H74" s="77">
        <v>8</v>
      </c>
      <c r="I74" s="77" t="s">
        <v>578</v>
      </c>
      <c r="J74" s="77">
        <v>146.5</v>
      </c>
      <c r="K74" s="70">
        <v>2600000</v>
      </c>
    </row>
    <row r="75" spans="2:11" x14ac:dyDescent="0.2">
      <c r="B75" s="75" t="s">
        <v>674</v>
      </c>
      <c r="C75" s="75" t="s">
        <v>675</v>
      </c>
      <c r="D75" s="76" t="s">
        <v>751</v>
      </c>
      <c r="E75" s="77" t="s">
        <v>677</v>
      </c>
      <c r="F75" s="77" t="s">
        <v>203</v>
      </c>
      <c r="G75" s="77" t="s">
        <v>752</v>
      </c>
      <c r="H75" s="77">
        <v>8</v>
      </c>
      <c r="I75" s="77" t="s">
        <v>578</v>
      </c>
      <c r="J75" s="77">
        <v>146.5</v>
      </c>
      <c r="K75" s="70">
        <v>2600000</v>
      </c>
    </row>
    <row r="76" spans="2:11" x14ac:dyDescent="0.2">
      <c r="B76" s="75" t="s">
        <v>674</v>
      </c>
      <c r="C76" s="75" t="s">
        <v>675</v>
      </c>
      <c r="D76" s="76" t="s">
        <v>753</v>
      </c>
      <c r="E76" s="77" t="s">
        <v>677</v>
      </c>
      <c r="F76" s="77" t="s">
        <v>204</v>
      </c>
      <c r="G76" s="77" t="s">
        <v>754</v>
      </c>
      <c r="H76" s="77">
        <v>8</v>
      </c>
      <c r="I76" s="77" t="s">
        <v>578</v>
      </c>
      <c r="J76" s="77">
        <v>146.5</v>
      </c>
      <c r="K76" s="70">
        <v>2600000</v>
      </c>
    </row>
    <row r="77" spans="2:11" x14ac:dyDescent="0.2">
      <c r="B77" s="75" t="s">
        <v>674</v>
      </c>
      <c r="C77" s="75" t="s">
        <v>675</v>
      </c>
      <c r="D77" s="76" t="s">
        <v>755</v>
      </c>
      <c r="E77" s="77" t="s">
        <v>677</v>
      </c>
      <c r="F77" s="77" t="s">
        <v>502</v>
      </c>
      <c r="G77" s="77" t="s">
        <v>754</v>
      </c>
      <c r="H77" s="77">
        <v>8</v>
      </c>
      <c r="I77" s="77" t="s">
        <v>94</v>
      </c>
      <c r="J77" s="77">
        <v>146.5</v>
      </c>
      <c r="K77" s="70">
        <v>2600000</v>
      </c>
    </row>
    <row r="78" spans="2:11" x14ac:dyDescent="0.2">
      <c r="B78" s="75" t="s">
        <v>674</v>
      </c>
      <c r="C78" s="75" t="s">
        <v>675</v>
      </c>
      <c r="D78" s="76" t="s">
        <v>756</v>
      </c>
      <c r="E78" s="77" t="s">
        <v>677</v>
      </c>
      <c r="F78" s="77" t="s">
        <v>207</v>
      </c>
      <c r="G78" s="77" t="s">
        <v>752</v>
      </c>
      <c r="H78" s="77">
        <v>8</v>
      </c>
      <c r="I78" s="77" t="s">
        <v>94</v>
      </c>
      <c r="J78" s="77">
        <v>146.5</v>
      </c>
      <c r="K78" s="70">
        <v>2600000</v>
      </c>
    </row>
    <row r="79" spans="2:11" x14ac:dyDescent="0.2">
      <c r="B79" s="75" t="s">
        <v>674</v>
      </c>
      <c r="C79" s="75" t="s">
        <v>675</v>
      </c>
      <c r="D79" s="76" t="s">
        <v>757</v>
      </c>
      <c r="E79" s="77" t="s">
        <v>677</v>
      </c>
      <c r="F79" s="77" t="s">
        <v>208</v>
      </c>
      <c r="G79" s="77" t="s">
        <v>83</v>
      </c>
      <c r="H79" s="77">
        <v>8</v>
      </c>
      <c r="I79" s="77" t="s">
        <v>94</v>
      </c>
      <c r="J79" s="77">
        <v>146.5</v>
      </c>
      <c r="K79" s="70">
        <v>2600000</v>
      </c>
    </row>
    <row r="80" spans="2:11" x14ac:dyDescent="0.2">
      <c r="B80" s="75" t="s">
        <v>674</v>
      </c>
      <c r="C80" s="75" t="s">
        <v>675</v>
      </c>
      <c r="D80" s="76" t="s">
        <v>758</v>
      </c>
      <c r="E80" s="77" t="s">
        <v>677</v>
      </c>
      <c r="F80" s="77" t="s">
        <v>209</v>
      </c>
      <c r="G80" s="77" t="s">
        <v>83</v>
      </c>
      <c r="H80" s="77">
        <v>8</v>
      </c>
      <c r="I80" s="77" t="s">
        <v>94</v>
      </c>
      <c r="J80" s="77">
        <v>146.5</v>
      </c>
      <c r="K80" s="70">
        <v>2600000</v>
      </c>
    </row>
    <row r="81" spans="2:11" x14ac:dyDescent="0.2">
      <c r="B81" s="75" t="s">
        <v>674</v>
      </c>
      <c r="C81" s="75" t="s">
        <v>675</v>
      </c>
      <c r="D81" s="76" t="s">
        <v>759</v>
      </c>
      <c r="E81" s="77" t="s">
        <v>677</v>
      </c>
      <c r="F81" s="77" t="s">
        <v>504</v>
      </c>
      <c r="G81" s="77" t="s">
        <v>752</v>
      </c>
      <c r="H81" s="77">
        <v>8</v>
      </c>
      <c r="I81" s="77" t="s">
        <v>94</v>
      </c>
      <c r="J81" s="77">
        <v>146.5</v>
      </c>
      <c r="K81" s="70">
        <v>2600000</v>
      </c>
    </row>
    <row r="82" spans="2:11" x14ac:dyDescent="0.2">
      <c r="B82" s="75" t="s">
        <v>674</v>
      </c>
      <c r="C82" s="75" t="s">
        <v>675</v>
      </c>
      <c r="D82" s="76" t="s">
        <v>760</v>
      </c>
      <c r="E82" s="77" t="s">
        <v>677</v>
      </c>
      <c r="F82" s="77" t="s">
        <v>210</v>
      </c>
      <c r="G82" s="77" t="s">
        <v>754</v>
      </c>
      <c r="H82" s="77">
        <v>8</v>
      </c>
      <c r="I82" s="77" t="s">
        <v>94</v>
      </c>
      <c r="J82" s="77">
        <v>146.5</v>
      </c>
      <c r="K82" s="70">
        <v>2600000</v>
      </c>
    </row>
    <row r="83" spans="2:11" x14ac:dyDescent="0.2">
      <c r="B83" s="75" t="s">
        <v>674</v>
      </c>
      <c r="C83" s="75" t="s">
        <v>675</v>
      </c>
      <c r="D83" s="76" t="s">
        <v>761</v>
      </c>
      <c r="E83" s="77" t="s">
        <v>677</v>
      </c>
      <c r="F83" s="77" t="s">
        <v>505</v>
      </c>
      <c r="G83" s="77" t="s">
        <v>754</v>
      </c>
      <c r="H83" s="77">
        <v>8</v>
      </c>
      <c r="I83" s="77" t="s">
        <v>578</v>
      </c>
      <c r="J83" s="77">
        <v>146.5</v>
      </c>
      <c r="K83" s="70">
        <v>2600000</v>
      </c>
    </row>
    <row r="84" spans="2:11" x14ac:dyDescent="0.2">
      <c r="B84" s="75" t="s">
        <v>674</v>
      </c>
      <c r="C84" s="75" t="s">
        <v>675</v>
      </c>
      <c r="D84" s="76" t="s">
        <v>762</v>
      </c>
      <c r="E84" s="77" t="s">
        <v>677</v>
      </c>
      <c r="F84" s="77" t="s">
        <v>213</v>
      </c>
      <c r="G84" s="77" t="s">
        <v>752</v>
      </c>
      <c r="H84" s="77">
        <v>8</v>
      </c>
      <c r="I84" s="77" t="s">
        <v>578</v>
      </c>
      <c r="J84" s="77">
        <v>146.5</v>
      </c>
      <c r="K84" s="70">
        <v>2600000</v>
      </c>
    </row>
    <row r="85" spans="2:11" x14ac:dyDescent="0.2">
      <c r="B85" s="75" t="s">
        <v>674</v>
      </c>
      <c r="C85" s="75" t="s">
        <v>675</v>
      </c>
      <c r="D85" s="76" t="s">
        <v>763</v>
      </c>
      <c r="E85" s="77" t="s">
        <v>677</v>
      </c>
      <c r="F85" s="77" t="s">
        <v>506</v>
      </c>
      <c r="G85" s="77" t="s">
        <v>83</v>
      </c>
      <c r="H85" s="77">
        <v>8</v>
      </c>
      <c r="I85" s="77" t="s">
        <v>578</v>
      </c>
      <c r="J85" s="77">
        <v>146.5</v>
      </c>
      <c r="K85" s="70">
        <v>2600000</v>
      </c>
    </row>
    <row r="86" spans="2:11" x14ac:dyDescent="0.2">
      <c r="B86" s="75" t="s">
        <v>674</v>
      </c>
      <c r="C86" s="75" t="s">
        <v>675</v>
      </c>
      <c r="D86" s="76" t="s">
        <v>764</v>
      </c>
      <c r="E86" s="77" t="s">
        <v>677</v>
      </c>
      <c r="F86" s="77" t="s">
        <v>214</v>
      </c>
      <c r="G86" s="77" t="s">
        <v>83</v>
      </c>
      <c r="H86" s="77">
        <v>9</v>
      </c>
      <c r="I86" s="77" t="s">
        <v>578</v>
      </c>
      <c r="J86" s="77">
        <v>146.5</v>
      </c>
      <c r="K86" s="70">
        <v>2600000</v>
      </c>
    </row>
    <row r="87" spans="2:11" x14ac:dyDescent="0.2">
      <c r="B87" s="75" t="s">
        <v>674</v>
      </c>
      <c r="C87" s="75" t="s">
        <v>675</v>
      </c>
      <c r="D87" s="76" t="s">
        <v>765</v>
      </c>
      <c r="E87" s="77" t="s">
        <v>677</v>
      </c>
      <c r="F87" s="77" t="s">
        <v>507</v>
      </c>
      <c r="G87" s="77" t="s">
        <v>752</v>
      </c>
      <c r="H87" s="77">
        <v>9</v>
      </c>
      <c r="I87" s="77" t="s">
        <v>578</v>
      </c>
      <c r="J87" s="77">
        <v>146.5</v>
      </c>
      <c r="K87" s="70">
        <v>2600000</v>
      </c>
    </row>
    <row r="88" spans="2:11" x14ac:dyDescent="0.2">
      <c r="B88" s="75" t="s">
        <v>674</v>
      </c>
      <c r="C88" s="75" t="s">
        <v>675</v>
      </c>
      <c r="D88" s="76" t="s">
        <v>766</v>
      </c>
      <c r="E88" s="77" t="s">
        <v>677</v>
      </c>
      <c r="F88" s="77" t="s">
        <v>508</v>
      </c>
      <c r="G88" s="77" t="s">
        <v>754</v>
      </c>
      <c r="H88" s="77">
        <v>9</v>
      </c>
      <c r="I88" s="77" t="s">
        <v>578</v>
      </c>
      <c r="J88" s="77">
        <v>146.5</v>
      </c>
      <c r="K88" s="70">
        <v>2600000</v>
      </c>
    </row>
    <row r="89" spans="2:11" x14ac:dyDescent="0.2">
      <c r="B89" s="75" t="s">
        <v>674</v>
      </c>
      <c r="C89" s="75" t="s">
        <v>675</v>
      </c>
      <c r="D89" s="76" t="s">
        <v>767</v>
      </c>
      <c r="E89" s="77" t="s">
        <v>677</v>
      </c>
      <c r="F89" s="77" t="s">
        <v>217</v>
      </c>
      <c r="G89" s="77" t="s">
        <v>754</v>
      </c>
      <c r="H89" s="77">
        <v>9</v>
      </c>
      <c r="I89" s="77" t="s">
        <v>94</v>
      </c>
      <c r="J89" s="77">
        <v>146.5</v>
      </c>
      <c r="K89" s="70">
        <v>2600000</v>
      </c>
    </row>
    <row r="90" spans="2:11" x14ac:dyDescent="0.2">
      <c r="B90" s="75" t="s">
        <v>674</v>
      </c>
      <c r="C90" s="75" t="s">
        <v>675</v>
      </c>
      <c r="D90" s="76" t="s">
        <v>768</v>
      </c>
      <c r="E90" s="77" t="s">
        <v>677</v>
      </c>
      <c r="F90" s="77" t="s">
        <v>218</v>
      </c>
      <c r="G90" s="77" t="s">
        <v>752</v>
      </c>
      <c r="H90" s="77">
        <v>9</v>
      </c>
      <c r="I90" s="77" t="s">
        <v>94</v>
      </c>
      <c r="J90" s="77">
        <v>146.5</v>
      </c>
      <c r="K90" s="70">
        <v>2600000</v>
      </c>
    </row>
    <row r="91" spans="2:11" x14ac:dyDescent="0.2">
      <c r="B91" s="75" t="s">
        <v>674</v>
      </c>
      <c r="C91" s="75" t="s">
        <v>675</v>
      </c>
      <c r="D91" s="76" t="s">
        <v>769</v>
      </c>
      <c r="E91" s="77" t="s">
        <v>677</v>
      </c>
      <c r="F91" s="77" t="s">
        <v>219</v>
      </c>
      <c r="G91" s="77" t="s">
        <v>83</v>
      </c>
      <c r="H91" s="77">
        <v>9</v>
      </c>
      <c r="I91" s="77" t="s">
        <v>94</v>
      </c>
      <c r="J91" s="77">
        <v>146.5</v>
      </c>
      <c r="K91" s="70">
        <v>2600000</v>
      </c>
    </row>
    <row r="92" spans="2:11" x14ac:dyDescent="0.2">
      <c r="B92" s="75" t="s">
        <v>674</v>
      </c>
      <c r="C92" s="75" t="s">
        <v>675</v>
      </c>
      <c r="D92" s="76" t="s">
        <v>770</v>
      </c>
      <c r="E92" s="77" t="s">
        <v>677</v>
      </c>
      <c r="F92" s="77" t="s">
        <v>220</v>
      </c>
      <c r="G92" s="77" t="s">
        <v>83</v>
      </c>
      <c r="H92" s="77">
        <v>9</v>
      </c>
      <c r="I92" s="77" t="s">
        <v>94</v>
      </c>
      <c r="J92" s="77">
        <v>146.5</v>
      </c>
      <c r="K92" s="70">
        <v>2600000</v>
      </c>
    </row>
    <row r="93" spans="2:11" x14ac:dyDescent="0.2">
      <c r="B93" s="75" t="s">
        <v>674</v>
      </c>
      <c r="C93" s="75" t="s">
        <v>675</v>
      </c>
      <c r="D93" s="76" t="s">
        <v>771</v>
      </c>
      <c r="E93" s="77" t="s">
        <v>677</v>
      </c>
      <c r="F93" s="77" t="s">
        <v>221</v>
      </c>
      <c r="G93" s="77" t="s">
        <v>752</v>
      </c>
      <c r="H93" s="77">
        <v>9</v>
      </c>
      <c r="I93" s="77" t="s">
        <v>94</v>
      </c>
      <c r="J93" s="77">
        <v>146.5</v>
      </c>
      <c r="K93" s="70">
        <v>2600000</v>
      </c>
    </row>
    <row r="94" spans="2:11" x14ac:dyDescent="0.2">
      <c r="B94" s="75" t="s">
        <v>674</v>
      </c>
      <c r="C94" s="75" t="s">
        <v>675</v>
      </c>
      <c r="D94" s="76" t="s">
        <v>772</v>
      </c>
      <c r="E94" s="77" t="s">
        <v>677</v>
      </c>
      <c r="F94" s="77" t="s">
        <v>510</v>
      </c>
      <c r="G94" s="77" t="s">
        <v>754</v>
      </c>
      <c r="H94" s="77">
        <v>9</v>
      </c>
      <c r="I94" s="77" t="s">
        <v>94</v>
      </c>
      <c r="J94" s="77">
        <v>146.5</v>
      </c>
      <c r="K94" s="70">
        <v>2600000</v>
      </c>
    </row>
    <row r="95" spans="2:11" x14ac:dyDescent="0.2">
      <c r="B95" s="75" t="s">
        <v>674</v>
      </c>
      <c r="C95" s="75" t="s">
        <v>675</v>
      </c>
      <c r="D95" s="76" t="s">
        <v>773</v>
      </c>
      <c r="E95" s="77" t="s">
        <v>677</v>
      </c>
      <c r="F95" s="77" t="s">
        <v>511</v>
      </c>
      <c r="G95" s="77" t="s">
        <v>754</v>
      </c>
      <c r="H95" s="77">
        <v>9</v>
      </c>
      <c r="I95" s="77" t="s">
        <v>578</v>
      </c>
      <c r="J95" s="77">
        <v>146.5</v>
      </c>
      <c r="K95" s="70">
        <v>2600000</v>
      </c>
    </row>
    <row r="96" spans="2:11" x14ac:dyDescent="0.2">
      <c r="B96" s="75" t="s">
        <v>674</v>
      </c>
      <c r="C96" s="75" t="s">
        <v>675</v>
      </c>
      <c r="D96" s="76" t="s">
        <v>774</v>
      </c>
      <c r="E96" s="77" t="s">
        <v>677</v>
      </c>
      <c r="F96" s="77" t="s">
        <v>512</v>
      </c>
      <c r="G96" s="77" t="s">
        <v>752</v>
      </c>
      <c r="H96" s="77">
        <v>9</v>
      </c>
      <c r="I96" s="77" t="s">
        <v>578</v>
      </c>
      <c r="J96" s="77">
        <v>146.5</v>
      </c>
      <c r="K96" s="70">
        <v>2600000</v>
      </c>
    </row>
    <row r="97" spans="2:11" x14ac:dyDescent="0.2">
      <c r="B97" s="75" t="s">
        <v>674</v>
      </c>
      <c r="C97" s="75" t="s">
        <v>675</v>
      </c>
      <c r="D97" s="76" t="s">
        <v>775</v>
      </c>
      <c r="E97" s="77" t="s">
        <v>677</v>
      </c>
      <c r="F97" s="77" t="s">
        <v>513</v>
      </c>
      <c r="G97" s="77" t="s">
        <v>83</v>
      </c>
      <c r="H97" s="77">
        <v>9</v>
      </c>
      <c r="I97" s="77" t="s">
        <v>578</v>
      </c>
      <c r="J97" s="77">
        <v>146.5</v>
      </c>
      <c r="K97" s="70">
        <v>2600000</v>
      </c>
    </row>
    <row r="98" spans="2:11" x14ac:dyDescent="0.2">
      <c r="B98" s="75" t="s">
        <v>674</v>
      </c>
      <c r="C98" s="75" t="s">
        <v>675</v>
      </c>
      <c r="D98" s="76" t="s">
        <v>776</v>
      </c>
      <c r="E98" s="77" t="s">
        <v>677</v>
      </c>
      <c r="F98" s="77" t="s">
        <v>449</v>
      </c>
      <c r="G98" s="77" t="s">
        <v>83</v>
      </c>
      <c r="H98" s="77">
        <v>10</v>
      </c>
      <c r="I98" s="77" t="s">
        <v>578</v>
      </c>
      <c r="J98" s="77">
        <v>146.5</v>
      </c>
      <c r="K98" s="70">
        <v>2600000</v>
      </c>
    </row>
    <row r="99" spans="2:11" x14ac:dyDescent="0.2">
      <c r="B99" s="75" t="s">
        <v>674</v>
      </c>
      <c r="C99" s="75" t="s">
        <v>675</v>
      </c>
      <c r="D99" s="76" t="s">
        <v>777</v>
      </c>
      <c r="E99" s="77" t="s">
        <v>677</v>
      </c>
      <c r="F99" s="77" t="s">
        <v>450</v>
      </c>
      <c r="G99" s="77" t="s">
        <v>752</v>
      </c>
      <c r="H99" s="77">
        <v>10</v>
      </c>
      <c r="I99" s="77" t="s">
        <v>578</v>
      </c>
      <c r="J99" s="77">
        <v>146.5</v>
      </c>
      <c r="K99" s="70">
        <v>2600000</v>
      </c>
    </row>
    <row r="100" spans="2:11" x14ac:dyDescent="0.2">
      <c r="B100" s="75" t="s">
        <v>674</v>
      </c>
      <c r="C100" s="75" t="s">
        <v>675</v>
      </c>
      <c r="D100" s="76" t="s">
        <v>778</v>
      </c>
      <c r="E100" s="77" t="s">
        <v>677</v>
      </c>
      <c r="F100" s="77" t="s">
        <v>224</v>
      </c>
      <c r="G100" s="77" t="s">
        <v>754</v>
      </c>
      <c r="H100" s="77">
        <v>10</v>
      </c>
      <c r="I100" s="77" t="s">
        <v>578</v>
      </c>
      <c r="J100" s="77">
        <v>146.5</v>
      </c>
      <c r="K100" s="70">
        <v>2600000</v>
      </c>
    </row>
    <row r="101" spans="2:11" x14ac:dyDescent="0.2">
      <c r="B101" s="75" t="s">
        <v>674</v>
      </c>
      <c r="C101" s="75" t="s">
        <v>675</v>
      </c>
      <c r="D101" s="76" t="s">
        <v>779</v>
      </c>
      <c r="E101" s="77" t="s">
        <v>677</v>
      </c>
      <c r="F101" s="77" t="s">
        <v>451</v>
      </c>
      <c r="G101" s="77" t="s">
        <v>754</v>
      </c>
      <c r="H101" s="77">
        <v>10</v>
      </c>
      <c r="I101" s="77" t="s">
        <v>94</v>
      </c>
      <c r="J101" s="77">
        <v>146.5</v>
      </c>
      <c r="K101" s="70">
        <v>2600000</v>
      </c>
    </row>
    <row r="102" spans="2:11" x14ac:dyDescent="0.2">
      <c r="B102" s="75" t="s">
        <v>674</v>
      </c>
      <c r="C102" s="75" t="s">
        <v>675</v>
      </c>
      <c r="D102" s="76" t="s">
        <v>780</v>
      </c>
      <c r="E102" s="77" t="s">
        <v>677</v>
      </c>
      <c r="F102" s="77" t="s">
        <v>227</v>
      </c>
      <c r="G102" s="77" t="s">
        <v>752</v>
      </c>
      <c r="H102" s="77">
        <v>10</v>
      </c>
      <c r="I102" s="77" t="s">
        <v>94</v>
      </c>
      <c r="J102" s="77">
        <v>146.5</v>
      </c>
      <c r="K102" s="70">
        <v>2600000</v>
      </c>
    </row>
    <row r="103" spans="2:11" x14ac:dyDescent="0.2">
      <c r="B103" s="75" t="s">
        <v>674</v>
      </c>
      <c r="C103" s="75" t="s">
        <v>675</v>
      </c>
      <c r="D103" s="76" t="s">
        <v>781</v>
      </c>
      <c r="E103" s="77" t="s">
        <v>677</v>
      </c>
      <c r="F103" s="77" t="s">
        <v>228</v>
      </c>
      <c r="G103" s="77" t="s">
        <v>83</v>
      </c>
      <c r="H103" s="77">
        <v>10</v>
      </c>
      <c r="I103" s="77" t="s">
        <v>94</v>
      </c>
      <c r="J103" s="77">
        <v>146.5</v>
      </c>
      <c r="K103" s="70">
        <v>2600000</v>
      </c>
    </row>
    <row r="104" spans="2:11" x14ac:dyDescent="0.2">
      <c r="B104" s="75" t="s">
        <v>674</v>
      </c>
      <c r="C104" s="75" t="s">
        <v>675</v>
      </c>
      <c r="D104" s="76" t="s">
        <v>782</v>
      </c>
      <c r="E104" s="77" t="s">
        <v>677</v>
      </c>
      <c r="F104" s="77" t="s">
        <v>229</v>
      </c>
      <c r="G104" s="77" t="s">
        <v>83</v>
      </c>
      <c r="H104" s="77">
        <v>10</v>
      </c>
      <c r="I104" s="77" t="s">
        <v>94</v>
      </c>
      <c r="J104" s="77">
        <v>146.5</v>
      </c>
      <c r="K104" s="70">
        <v>2600000</v>
      </c>
    </row>
    <row r="105" spans="2:11" x14ac:dyDescent="0.2">
      <c r="B105" s="75" t="s">
        <v>674</v>
      </c>
      <c r="C105" s="75" t="s">
        <v>675</v>
      </c>
      <c r="D105" s="76" t="s">
        <v>783</v>
      </c>
      <c r="E105" s="77" t="s">
        <v>677</v>
      </c>
      <c r="F105" s="77" t="s">
        <v>230</v>
      </c>
      <c r="G105" s="77" t="s">
        <v>752</v>
      </c>
      <c r="H105" s="77">
        <v>10</v>
      </c>
      <c r="I105" s="77" t="s">
        <v>94</v>
      </c>
      <c r="J105" s="77">
        <v>146.5</v>
      </c>
      <c r="K105" s="70">
        <v>2600000</v>
      </c>
    </row>
    <row r="106" spans="2:11" x14ac:dyDescent="0.2">
      <c r="B106" s="75" t="s">
        <v>674</v>
      </c>
      <c r="C106" s="75" t="s">
        <v>675</v>
      </c>
      <c r="D106" s="76" t="s">
        <v>784</v>
      </c>
      <c r="E106" s="77" t="s">
        <v>677</v>
      </c>
      <c r="F106" s="77" t="s">
        <v>453</v>
      </c>
      <c r="G106" s="77" t="s">
        <v>754</v>
      </c>
      <c r="H106" s="77">
        <v>10</v>
      </c>
      <c r="I106" s="77" t="s">
        <v>94</v>
      </c>
      <c r="J106" s="77">
        <v>146.5</v>
      </c>
      <c r="K106" s="70">
        <v>2600000</v>
      </c>
    </row>
    <row r="107" spans="2:11" x14ac:dyDescent="0.2">
      <c r="B107" s="75" t="s">
        <v>674</v>
      </c>
      <c r="C107" s="75" t="s">
        <v>675</v>
      </c>
      <c r="D107" s="76" t="s">
        <v>785</v>
      </c>
      <c r="E107" s="77" t="s">
        <v>677</v>
      </c>
      <c r="F107" s="77" t="s">
        <v>454</v>
      </c>
      <c r="G107" s="77" t="s">
        <v>754</v>
      </c>
      <c r="H107" s="77">
        <v>10</v>
      </c>
      <c r="I107" s="77" t="s">
        <v>578</v>
      </c>
      <c r="J107" s="77">
        <v>146.5</v>
      </c>
      <c r="K107" s="70">
        <v>2600000</v>
      </c>
    </row>
    <row r="108" spans="2:11" x14ac:dyDescent="0.2">
      <c r="B108" s="75" t="s">
        <v>674</v>
      </c>
      <c r="C108" s="75" t="s">
        <v>675</v>
      </c>
      <c r="D108" s="76" t="s">
        <v>786</v>
      </c>
      <c r="E108" s="77" t="s">
        <v>677</v>
      </c>
      <c r="F108" s="77" t="s">
        <v>455</v>
      </c>
      <c r="G108" s="77" t="s">
        <v>752</v>
      </c>
      <c r="H108" s="77">
        <v>10</v>
      </c>
      <c r="I108" s="77" t="s">
        <v>578</v>
      </c>
      <c r="J108" s="77">
        <v>146.5</v>
      </c>
      <c r="K108" s="70">
        <v>2600000</v>
      </c>
    </row>
    <row r="109" spans="2:11" x14ac:dyDescent="0.2">
      <c r="B109" s="75" t="s">
        <v>674</v>
      </c>
      <c r="C109" s="75" t="s">
        <v>675</v>
      </c>
      <c r="D109" s="76" t="s">
        <v>787</v>
      </c>
      <c r="E109" s="77" t="s">
        <v>677</v>
      </c>
      <c r="F109" s="77" t="s">
        <v>456</v>
      </c>
      <c r="G109" s="77" t="s">
        <v>83</v>
      </c>
      <c r="H109" s="77">
        <v>10</v>
      </c>
      <c r="I109" s="77" t="s">
        <v>578</v>
      </c>
      <c r="J109" s="77">
        <v>146.5</v>
      </c>
      <c r="K109" s="70">
        <v>2600000</v>
      </c>
    </row>
    <row r="110" spans="2:11" x14ac:dyDescent="0.2">
      <c r="B110" s="75" t="s">
        <v>674</v>
      </c>
      <c r="C110" s="75" t="s">
        <v>675</v>
      </c>
      <c r="D110" s="76" t="s">
        <v>788</v>
      </c>
      <c r="E110" s="77" t="s">
        <v>677</v>
      </c>
      <c r="F110" s="77" t="s">
        <v>458</v>
      </c>
      <c r="G110" s="77" t="s">
        <v>83</v>
      </c>
      <c r="H110" s="77">
        <v>11</v>
      </c>
      <c r="I110" s="77" t="s">
        <v>94</v>
      </c>
      <c r="J110" s="77">
        <v>146.5</v>
      </c>
      <c r="K110" s="70">
        <v>2600000</v>
      </c>
    </row>
    <row r="111" spans="2:11" x14ac:dyDescent="0.2">
      <c r="B111" s="75" t="s">
        <v>674</v>
      </c>
      <c r="C111" s="75" t="s">
        <v>675</v>
      </c>
      <c r="D111" s="76" t="s">
        <v>789</v>
      </c>
      <c r="E111" s="77" t="s">
        <v>677</v>
      </c>
      <c r="F111" s="77" t="s">
        <v>465</v>
      </c>
      <c r="G111" s="77" t="s">
        <v>83</v>
      </c>
      <c r="H111" s="77">
        <v>11</v>
      </c>
      <c r="I111" s="77" t="s">
        <v>578</v>
      </c>
      <c r="J111" s="77">
        <v>146.5</v>
      </c>
      <c r="K111" s="70">
        <v>2600000</v>
      </c>
    </row>
    <row r="112" spans="2:11" x14ac:dyDescent="0.2">
      <c r="B112" s="75" t="s">
        <v>674</v>
      </c>
      <c r="C112" s="75" t="s">
        <v>675</v>
      </c>
      <c r="D112" s="76" t="s">
        <v>790</v>
      </c>
      <c r="E112" s="77" t="s">
        <v>677</v>
      </c>
      <c r="F112" s="77" t="s">
        <v>467</v>
      </c>
      <c r="G112" s="77" t="s">
        <v>83</v>
      </c>
      <c r="H112" s="77">
        <v>11</v>
      </c>
      <c r="I112" s="77" t="s">
        <v>578</v>
      </c>
      <c r="J112" s="77">
        <v>146.5</v>
      </c>
      <c r="K112" s="70">
        <v>2600000</v>
      </c>
    </row>
    <row r="113" spans="2:11" x14ac:dyDescent="0.2">
      <c r="B113" s="75" t="s">
        <v>674</v>
      </c>
      <c r="C113" s="75" t="s">
        <v>675</v>
      </c>
      <c r="D113" s="76" t="s">
        <v>791</v>
      </c>
      <c r="E113" s="77" t="s">
        <v>677</v>
      </c>
      <c r="F113" s="77" t="s">
        <v>474</v>
      </c>
      <c r="G113" s="77" t="s">
        <v>83</v>
      </c>
      <c r="H113" s="77">
        <v>11</v>
      </c>
      <c r="I113" s="77" t="s">
        <v>94</v>
      </c>
      <c r="J113" s="77">
        <v>146.5</v>
      </c>
      <c r="K113" s="70">
        <v>2600000</v>
      </c>
    </row>
    <row r="114" spans="2:11" x14ac:dyDescent="0.2">
      <c r="B114" s="75" t="s">
        <v>674</v>
      </c>
      <c r="C114" s="75" t="s">
        <v>675</v>
      </c>
      <c r="D114" s="76" t="s">
        <v>792</v>
      </c>
      <c r="E114" s="77" t="s">
        <v>677</v>
      </c>
      <c r="F114" s="77" t="s">
        <v>237</v>
      </c>
      <c r="G114" s="77" t="s">
        <v>752</v>
      </c>
      <c r="H114" s="77">
        <v>12</v>
      </c>
      <c r="I114" s="77" t="s">
        <v>94</v>
      </c>
      <c r="J114" s="77">
        <v>146.5</v>
      </c>
      <c r="K114" s="70">
        <v>2600000</v>
      </c>
    </row>
    <row r="115" spans="2:11" x14ac:dyDescent="0.2">
      <c r="B115" s="75" t="s">
        <v>674</v>
      </c>
      <c r="C115" s="75" t="s">
        <v>675</v>
      </c>
      <c r="D115" s="76" t="s">
        <v>793</v>
      </c>
      <c r="E115" s="77" t="s">
        <v>677</v>
      </c>
      <c r="F115" s="77" t="s">
        <v>238</v>
      </c>
      <c r="G115" s="77" t="s">
        <v>83</v>
      </c>
      <c r="H115" s="77">
        <v>12</v>
      </c>
      <c r="I115" s="77" t="s">
        <v>94</v>
      </c>
      <c r="J115" s="77">
        <v>146.5</v>
      </c>
      <c r="K115" s="70">
        <v>2600000</v>
      </c>
    </row>
    <row r="116" spans="2:11" x14ac:dyDescent="0.2">
      <c r="B116" s="75" t="s">
        <v>674</v>
      </c>
      <c r="C116" s="75" t="s">
        <v>675</v>
      </c>
      <c r="D116" s="76" t="s">
        <v>794</v>
      </c>
      <c r="E116" s="77" t="s">
        <v>677</v>
      </c>
      <c r="F116" s="77" t="s">
        <v>240</v>
      </c>
      <c r="G116" s="77" t="s">
        <v>83</v>
      </c>
      <c r="H116" s="77">
        <v>12</v>
      </c>
      <c r="I116" s="77" t="s">
        <v>94</v>
      </c>
      <c r="J116" s="77">
        <v>146.5</v>
      </c>
      <c r="K116" s="70">
        <v>2600000</v>
      </c>
    </row>
    <row r="117" spans="2:11" x14ac:dyDescent="0.2">
      <c r="B117" s="75" t="s">
        <v>674</v>
      </c>
      <c r="C117" s="75" t="s">
        <v>675</v>
      </c>
      <c r="D117" s="76" t="s">
        <v>795</v>
      </c>
      <c r="E117" s="77" t="s">
        <v>677</v>
      </c>
      <c r="F117" s="77" t="s">
        <v>478</v>
      </c>
      <c r="G117" s="77" t="s">
        <v>752</v>
      </c>
      <c r="H117" s="77">
        <v>12</v>
      </c>
      <c r="I117" s="77" t="s">
        <v>94</v>
      </c>
      <c r="J117" s="77">
        <v>146.5</v>
      </c>
      <c r="K117" s="70">
        <v>2600000</v>
      </c>
    </row>
    <row r="118" spans="2:11" x14ac:dyDescent="0.2">
      <c r="B118" s="75" t="s">
        <v>674</v>
      </c>
      <c r="C118" s="75" t="s">
        <v>675</v>
      </c>
      <c r="D118" s="76" t="s">
        <v>796</v>
      </c>
      <c r="E118" s="77" t="s">
        <v>677</v>
      </c>
      <c r="F118" s="77" t="s">
        <v>459</v>
      </c>
      <c r="G118" s="77" t="s">
        <v>83</v>
      </c>
      <c r="H118" s="77">
        <v>11</v>
      </c>
      <c r="I118" s="77" t="s">
        <v>94</v>
      </c>
      <c r="J118" s="77">
        <v>146.63</v>
      </c>
      <c r="K118" s="70">
        <v>2600000</v>
      </c>
    </row>
    <row r="119" spans="2:11" x14ac:dyDescent="0.2">
      <c r="B119" s="75" t="s">
        <v>674</v>
      </c>
      <c r="C119" s="75" t="s">
        <v>675</v>
      </c>
      <c r="D119" s="76" t="s">
        <v>797</v>
      </c>
      <c r="E119" s="77" t="s">
        <v>677</v>
      </c>
      <c r="F119" s="77" t="s">
        <v>460</v>
      </c>
      <c r="G119" s="77" t="s">
        <v>83</v>
      </c>
      <c r="H119" s="77">
        <v>11</v>
      </c>
      <c r="I119" s="77" t="s">
        <v>94</v>
      </c>
      <c r="J119" s="77">
        <v>146.63</v>
      </c>
      <c r="K119" s="70">
        <v>2600000</v>
      </c>
    </row>
    <row r="120" spans="2:11" x14ac:dyDescent="0.2">
      <c r="B120" s="75" t="s">
        <v>674</v>
      </c>
      <c r="C120" s="75" t="s">
        <v>675</v>
      </c>
      <c r="D120" s="76" t="s">
        <v>798</v>
      </c>
      <c r="E120" s="77" t="s">
        <v>677</v>
      </c>
      <c r="F120" s="77" t="s">
        <v>463</v>
      </c>
      <c r="G120" s="77" t="s">
        <v>83</v>
      </c>
      <c r="H120" s="77">
        <v>11</v>
      </c>
      <c r="I120" s="77" t="s">
        <v>578</v>
      </c>
      <c r="J120" s="77">
        <v>146.63</v>
      </c>
      <c r="K120" s="70">
        <v>2600000</v>
      </c>
    </row>
    <row r="121" spans="2:11" x14ac:dyDescent="0.2">
      <c r="B121" s="75" t="s">
        <v>674</v>
      </c>
      <c r="C121" s="75" t="s">
        <v>675</v>
      </c>
      <c r="D121" s="76" t="s">
        <v>799</v>
      </c>
      <c r="E121" s="77" t="s">
        <v>677</v>
      </c>
      <c r="F121" s="77" t="s">
        <v>464</v>
      </c>
      <c r="G121" s="77" t="s">
        <v>83</v>
      </c>
      <c r="H121" s="77">
        <v>11</v>
      </c>
      <c r="I121" s="77" t="s">
        <v>578</v>
      </c>
      <c r="J121" s="77">
        <v>146.63</v>
      </c>
      <c r="K121" s="70">
        <v>2600000</v>
      </c>
    </row>
    <row r="122" spans="2:11" x14ac:dyDescent="0.2">
      <c r="B122" s="75" t="s">
        <v>674</v>
      </c>
      <c r="C122" s="75" t="s">
        <v>675</v>
      </c>
      <c r="D122" s="76" t="s">
        <v>800</v>
      </c>
      <c r="E122" s="77" t="s">
        <v>677</v>
      </c>
      <c r="F122" s="77" t="s">
        <v>468</v>
      </c>
      <c r="G122" s="77" t="s">
        <v>83</v>
      </c>
      <c r="H122" s="77">
        <v>11</v>
      </c>
      <c r="I122" s="77" t="s">
        <v>578</v>
      </c>
      <c r="J122" s="77">
        <v>146.63</v>
      </c>
      <c r="K122" s="70">
        <v>2600000</v>
      </c>
    </row>
    <row r="123" spans="2:11" x14ac:dyDescent="0.2">
      <c r="B123" s="75" t="s">
        <v>674</v>
      </c>
      <c r="C123" s="75" t="s">
        <v>675</v>
      </c>
      <c r="D123" s="76" t="s">
        <v>801</v>
      </c>
      <c r="E123" s="77" t="s">
        <v>677</v>
      </c>
      <c r="F123" s="77" t="s">
        <v>469</v>
      </c>
      <c r="G123" s="77" t="s">
        <v>83</v>
      </c>
      <c r="H123" s="77">
        <v>11</v>
      </c>
      <c r="I123" s="77" t="s">
        <v>578</v>
      </c>
      <c r="J123" s="77">
        <v>146.63</v>
      </c>
      <c r="K123" s="70">
        <v>2600000</v>
      </c>
    </row>
    <row r="124" spans="2:11" x14ac:dyDescent="0.2">
      <c r="B124" s="75" t="s">
        <v>674</v>
      </c>
      <c r="C124" s="75" t="s">
        <v>675</v>
      </c>
      <c r="D124" s="76" t="s">
        <v>802</v>
      </c>
      <c r="E124" s="77" t="s">
        <v>677</v>
      </c>
      <c r="F124" s="77" t="s">
        <v>472</v>
      </c>
      <c r="G124" s="77" t="s">
        <v>83</v>
      </c>
      <c r="H124" s="77">
        <v>11</v>
      </c>
      <c r="I124" s="77" t="s">
        <v>94</v>
      </c>
      <c r="J124" s="77">
        <v>146.63</v>
      </c>
      <c r="K124" s="70">
        <v>2600000</v>
      </c>
    </row>
    <row r="125" spans="2:11" x14ac:dyDescent="0.2">
      <c r="B125" s="75" t="s">
        <v>674</v>
      </c>
      <c r="C125" s="75" t="s">
        <v>675</v>
      </c>
      <c r="D125" s="76" t="s">
        <v>803</v>
      </c>
      <c r="E125" s="77" t="s">
        <v>677</v>
      </c>
      <c r="F125" s="77" t="s">
        <v>473</v>
      </c>
      <c r="G125" s="77" t="s">
        <v>83</v>
      </c>
      <c r="H125" s="77">
        <v>11</v>
      </c>
      <c r="I125" s="77" t="s">
        <v>94</v>
      </c>
      <c r="J125" s="77">
        <v>146.63</v>
      </c>
      <c r="K125" s="70">
        <v>2600000</v>
      </c>
    </row>
    <row r="126" spans="2:11" x14ac:dyDescent="0.2">
      <c r="B126" s="75" t="s">
        <v>674</v>
      </c>
      <c r="C126" s="75" t="s">
        <v>675</v>
      </c>
      <c r="D126" s="76" t="s">
        <v>804</v>
      </c>
      <c r="E126" s="77" t="s">
        <v>677</v>
      </c>
      <c r="F126" s="77" t="s">
        <v>466</v>
      </c>
      <c r="G126" s="77" t="s">
        <v>83</v>
      </c>
      <c r="H126" s="77">
        <v>11</v>
      </c>
      <c r="I126" s="77" t="s">
        <v>578</v>
      </c>
      <c r="J126" s="77">
        <v>147.86000000000001</v>
      </c>
      <c r="K126" s="70">
        <v>2600000</v>
      </c>
    </row>
    <row r="127" spans="2:11" x14ac:dyDescent="0.2">
      <c r="B127" s="75" t="s">
        <v>674</v>
      </c>
      <c r="C127" s="75" t="s">
        <v>675</v>
      </c>
      <c r="D127" s="76" t="s">
        <v>805</v>
      </c>
      <c r="E127" s="77" t="s">
        <v>677</v>
      </c>
      <c r="F127" s="77" t="s">
        <v>457</v>
      </c>
      <c r="G127" s="77" t="s">
        <v>806</v>
      </c>
      <c r="H127" s="77">
        <v>0</v>
      </c>
      <c r="I127" s="77" t="s">
        <v>94</v>
      </c>
      <c r="J127" s="77">
        <v>159.97</v>
      </c>
      <c r="K127" s="70">
        <v>4400000</v>
      </c>
    </row>
    <row r="128" spans="2:11" x14ac:dyDescent="0.2">
      <c r="B128" s="75" t="s">
        <v>674</v>
      </c>
      <c r="C128" s="75" t="s">
        <v>675</v>
      </c>
      <c r="D128" s="76" t="s">
        <v>807</v>
      </c>
      <c r="E128" s="77" t="s">
        <v>677</v>
      </c>
      <c r="F128" s="77" t="s">
        <v>475</v>
      </c>
      <c r="G128" s="77" t="s">
        <v>806</v>
      </c>
      <c r="H128" s="77">
        <v>0</v>
      </c>
      <c r="I128" s="77" t="s">
        <v>94</v>
      </c>
      <c r="J128" s="77">
        <v>159.97</v>
      </c>
      <c r="K128" s="70">
        <v>4400000</v>
      </c>
    </row>
    <row r="129" spans="2:11" x14ac:dyDescent="0.2">
      <c r="B129" s="75" t="s">
        <v>674</v>
      </c>
      <c r="C129" s="75" t="s">
        <v>675</v>
      </c>
      <c r="D129" s="76" t="s">
        <v>808</v>
      </c>
      <c r="E129" s="77" t="s">
        <v>677</v>
      </c>
      <c r="F129" s="77" t="s">
        <v>129</v>
      </c>
      <c r="G129" s="77" t="s">
        <v>806</v>
      </c>
      <c r="H129" s="77">
        <v>0</v>
      </c>
      <c r="I129" s="77" t="s">
        <v>94</v>
      </c>
      <c r="J129" s="77">
        <v>161.13999999999999</v>
      </c>
      <c r="K129" s="70">
        <v>4400000</v>
      </c>
    </row>
    <row r="130" spans="2:11" x14ac:dyDescent="0.2">
      <c r="B130" s="75" t="s">
        <v>674</v>
      </c>
      <c r="C130" s="75" t="s">
        <v>675</v>
      </c>
      <c r="D130" s="76" t="s">
        <v>809</v>
      </c>
      <c r="E130" s="77" t="s">
        <v>677</v>
      </c>
      <c r="F130" s="77" t="s">
        <v>446</v>
      </c>
      <c r="G130" s="77" t="s">
        <v>810</v>
      </c>
      <c r="H130" s="77">
        <v>0</v>
      </c>
      <c r="I130" s="77" t="s">
        <v>578</v>
      </c>
      <c r="J130" s="77">
        <v>178.62</v>
      </c>
      <c r="K130" s="70">
        <v>4400000</v>
      </c>
    </row>
    <row r="131" spans="2:11" x14ac:dyDescent="0.2">
      <c r="B131" s="75" t="s">
        <v>674</v>
      </c>
      <c r="C131" s="75" t="s">
        <v>675</v>
      </c>
      <c r="D131" s="76" t="s">
        <v>811</v>
      </c>
      <c r="E131" s="77" t="s">
        <v>677</v>
      </c>
      <c r="F131" s="77" t="s">
        <v>447</v>
      </c>
      <c r="G131" s="77" t="s">
        <v>812</v>
      </c>
      <c r="H131" s="77">
        <v>0</v>
      </c>
      <c r="I131" s="77" t="s">
        <v>578</v>
      </c>
      <c r="J131" s="77">
        <v>178.62</v>
      </c>
      <c r="K131" s="70">
        <v>4400000</v>
      </c>
    </row>
    <row r="132" spans="2:11" x14ac:dyDescent="0.2">
      <c r="B132" s="75" t="s">
        <v>674</v>
      </c>
      <c r="C132" s="75" t="s">
        <v>675</v>
      </c>
      <c r="D132" s="76" t="s">
        <v>813</v>
      </c>
      <c r="E132" s="77" t="s">
        <v>677</v>
      </c>
      <c r="F132" s="77" t="s">
        <v>123</v>
      </c>
      <c r="G132" s="77" t="s">
        <v>810</v>
      </c>
      <c r="H132" s="77">
        <v>0</v>
      </c>
      <c r="I132" s="77" t="s">
        <v>578</v>
      </c>
      <c r="J132" s="77">
        <v>178.62</v>
      </c>
      <c r="K132" s="70">
        <v>4400000</v>
      </c>
    </row>
    <row r="133" spans="2:11" x14ac:dyDescent="0.2">
      <c r="B133" s="75" t="s">
        <v>674</v>
      </c>
      <c r="C133" s="75" t="s">
        <v>675</v>
      </c>
      <c r="D133" s="76" t="s">
        <v>814</v>
      </c>
      <c r="E133" s="77" t="s">
        <v>677</v>
      </c>
      <c r="F133" s="77" t="s">
        <v>124</v>
      </c>
      <c r="G133" s="77" t="s">
        <v>812</v>
      </c>
      <c r="H133" s="77">
        <v>0</v>
      </c>
      <c r="I133" s="77" t="s">
        <v>578</v>
      </c>
      <c r="J133" s="77">
        <v>178.62</v>
      </c>
      <c r="K133" s="70">
        <v>4400000</v>
      </c>
    </row>
    <row r="134" spans="2:11" x14ac:dyDescent="0.2">
      <c r="B134" s="75" t="s">
        <v>674</v>
      </c>
      <c r="C134" s="75" t="s">
        <v>675</v>
      </c>
      <c r="D134" s="76" t="s">
        <v>815</v>
      </c>
      <c r="E134" s="77" t="s">
        <v>677</v>
      </c>
      <c r="F134" s="77" t="s">
        <v>125</v>
      </c>
      <c r="G134" s="77" t="s">
        <v>810</v>
      </c>
      <c r="H134" s="77">
        <v>0</v>
      </c>
      <c r="I134" s="77" t="s">
        <v>578</v>
      </c>
      <c r="J134" s="77">
        <v>178.62</v>
      </c>
      <c r="K134" s="70">
        <v>4400000</v>
      </c>
    </row>
    <row r="135" spans="2:11" x14ac:dyDescent="0.2">
      <c r="B135" s="75" t="s">
        <v>674</v>
      </c>
      <c r="C135" s="75" t="s">
        <v>675</v>
      </c>
      <c r="D135" s="76" t="s">
        <v>816</v>
      </c>
      <c r="E135" s="77" t="s">
        <v>677</v>
      </c>
      <c r="F135" s="77" t="s">
        <v>126</v>
      </c>
      <c r="G135" s="77" t="s">
        <v>817</v>
      </c>
      <c r="H135" s="77">
        <v>0</v>
      </c>
      <c r="I135" s="77" t="s">
        <v>578</v>
      </c>
      <c r="J135" s="77">
        <v>178.62</v>
      </c>
      <c r="K135" s="70">
        <v>4400000</v>
      </c>
    </row>
    <row r="136" spans="2:11" x14ac:dyDescent="0.2">
      <c r="B136" s="75" t="s">
        <v>674</v>
      </c>
      <c r="C136" s="75" t="s">
        <v>675</v>
      </c>
      <c r="D136" s="76" t="s">
        <v>818</v>
      </c>
      <c r="E136" s="77" t="s">
        <v>677</v>
      </c>
      <c r="F136" s="77" t="s">
        <v>127</v>
      </c>
      <c r="G136" s="77" t="s">
        <v>810</v>
      </c>
      <c r="H136" s="77">
        <v>0</v>
      </c>
      <c r="I136" s="77" t="s">
        <v>578</v>
      </c>
      <c r="J136" s="77">
        <v>178.62</v>
      </c>
      <c r="K136" s="70">
        <v>4400000</v>
      </c>
    </row>
    <row r="137" spans="2:11" x14ac:dyDescent="0.2">
      <c r="B137" s="75" t="s">
        <v>674</v>
      </c>
      <c r="C137" s="75" t="s">
        <v>675</v>
      </c>
      <c r="D137" s="76" t="s">
        <v>819</v>
      </c>
      <c r="E137" s="77" t="s">
        <v>677</v>
      </c>
      <c r="F137" s="77" t="s">
        <v>128</v>
      </c>
      <c r="G137" s="77" t="s">
        <v>812</v>
      </c>
      <c r="H137" s="77">
        <v>0</v>
      </c>
      <c r="I137" s="77" t="s">
        <v>578</v>
      </c>
      <c r="J137" s="77">
        <v>178.62</v>
      </c>
      <c r="K137" s="70">
        <v>4400000</v>
      </c>
    </row>
    <row r="138" spans="2:11" x14ac:dyDescent="0.2">
      <c r="B138" s="75" t="s">
        <v>674</v>
      </c>
      <c r="C138" s="75" t="s">
        <v>675</v>
      </c>
      <c r="D138" s="76" t="s">
        <v>820</v>
      </c>
      <c r="E138" s="77" t="s">
        <v>677</v>
      </c>
      <c r="F138" s="77" t="s">
        <v>482</v>
      </c>
      <c r="G138" s="77" t="s">
        <v>810</v>
      </c>
      <c r="H138" s="77">
        <v>0</v>
      </c>
      <c r="I138" s="77" t="s">
        <v>94</v>
      </c>
      <c r="J138" s="77">
        <v>178.62</v>
      </c>
      <c r="K138" s="70">
        <v>4400000</v>
      </c>
    </row>
    <row r="139" spans="2:11" x14ac:dyDescent="0.2">
      <c r="B139" s="75" t="s">
        <v>674</v>
      </c>
      <c r="C139" s="75" t="s">
        <v>675</v>
      </c>
      <c r="D139" s="76" t="s">
        <v>821</v>
      </c>
      <c r="E139" s="77" t="s">
        <v>677</v>
      </c>
      <c r="F139" s="77" t="s">
        <v>483</v>
      </c>
      <c r="G139" s="77" t="s">
        <v>812</v>
      </c>
      <c r="H139" s="77">
        <v>0</v>
      </c>
      <c r="I139" s="77" t="s">
        <v>94</v>
      </c>
      <c r="J139" s="77">
        <v>178.62</v>
      </c>
      <c r="K139" s="70">
        <v>4400000</v>
      </c>
    </row>
    <row r="140" spans="2:11" x14ac:dyDescent="0.2">
      <c r="B140" s="75" t="s">
        <v>674</v>
      </c>
      <c r="C140" s="75" t="s">
        <v>675</v>
      </c>
      <c r="D140" s="76" t="s">
        <v>822</v>
      </c>
      <c r="E140" s="77" t="s">
        <v>677</v>
      </c>
      <c r="F140" s="77" t="s">
        <v>484</v>
      </c>
      <c r="G140" s="77" t="s">
        <v>810</v>
      </c>
      <c r="H140" s="77">
        <v>0</v>
      </c>
      <c r="I140" s="77" t="s">
        <v>94</v>
      </c>
      <c r="J140" s="77">
        <v>178.62</v>
      </c>
      <c r="K140" s="70">
        <v>4400000</v>
      </c>
    </row>
    <row r="141" spans="2:11" x14ac:dyDescent="0.2">
      <c r="B141" s="75" t="s">
        <v>674</v>
      </c>
      <c r="C141" s="75" t="s">
        <v>675</v>
      </c>
      <c r="D141" s="76" t="s">
        <v>823</v>
      </c>
      <c r="E141" s="77" t="s">
        <v>677</v>
      </c>
      <c r="F141" s="77" t="s">
        <v>485</v>
      </c>
      <c r="G141" s="77" t="s">
        <v>812</v>
      </c>
      <c r="H141" s="77">
        <v>0</v>
      </c>
      <c r="I141" s="77" t="s">
        <v>94</v>
      </c>
      <c r="J141" s="77">
        <v>178.62</v>
      </c>
      <c r="K141" s="70">
        <v>4400000</v>
      </c>
    </row>
    <row r="142" spans="2:11" x14ac:dyDescent="0.2">
      <c r="B142" s="75" t="s">
        <v>674</v>
      </c>
      <c r="C142" s="75" t="s">
        <v>675</v>
      </c>
      <c r="D142" s="76" t="s">
        <v>824</v>
      </c>
      <c r="E142" s="77" t="s">
        <v>677</v>
      </c>
      <c r="F142" s="77" t="s">
        <v>130</v>
      </c>
      <c r="G142" s="77" t="s">
        <v>810</v>
      </c>
      <c r="H142" s="77">
        <v>0</v>
      </c>
      <c r="I142" s="77" t="s">
        <v>94</v>
      </c>
      <c r="J142" s="77">
        <v>178.62</v>
      </c>
      <c r="K142" s="70">
        <v>4400000</v>
      </c>
    </row>
    <row r="143" spans="2:11" x14ac:dyDescent="0.2">
      <c r="B143" s="75" t="s">
        <v>674</v>
      </c>
      <c r="C143" s="75" t="s">
        <v>675</v>
      </c>
      <c r="D143" s="76" t="s">
        <v>825</v>
      </c>
      <c r="E143" s="77" t="s">
        <v>677</v>
      </c>
      <c r="F143" s="77" t="s">
        <v>486</v>
      </c>
      <c r="G143" s="77" t="s">
        <v>812</v>
      </c>
      <c r="H143" s="77">
        <v>0</v>
      </c>
      <c r="I143" s="77" t="s">
        <v>94</v>
      </c>
      <c r="J143" s="77">
        <v>178.62</v>
      </c>
      <c r="K143" s="70">
        <v>4400000</v>
      </c>
    </row>
    <row r="144" spans="2:11" x14ac:dyDescent="0.2">
      <c r="B144" s="75" t="s">
        <v>674</v>
      </c>
      <c r="C144" s="75" t="s">
        <v>675</v>
      </c>
      <c r="D144" s="76" t="s">
        <v>826</v>
      </c>
      <c r="E144" s="77" t="s">
        <v>677</v>
      </c>
      <c r="F144" s="77" t="s">
        <v>481</v>
      </c>
      <c r="G144" s="77" t="s">
        <v>812</v>
      </c>
      <c r="H144" s="77">
        <v>0</v>
      </c>
      <c r="I144" s="77" t="s">
        <v>94</v>
      </c>
      <c r="J144" s="77">
        <v>181.39</v>
      </c>
      <c r="K144" s="70">
        <v>4400000</v>
      </c>
    </row>
    <row r="145" spans="2:11" x14ac:dyDescent="0.2">
      <c r="B145" s="75" t="s">
        <v>674</v>
      </c>
      <c r="C145" s="75" t="s">
        <v>675</v>
      </c>
      <c r="D145" s="76" t="s">
        <v>827</v>
      </c>
      <c r="E145" s="77" t="s">
        <v>677</v>
      </c>
      <c r="F145" s="77" t="s">
        <v>488</v>
      </c>
      <c r="G145" s="77" t="s">
        <v>87</v>
      </c>
      <c r="H145" s="77">
        <v>3</v>
      </c>
      <c r="I145" s="77" t="s">
        <v>578</v>
      </c>
      <c r="J145" s="77">
        <v>182.53</v>
      </c>
      <c r="K145" s="70">
        <v>4400000</v>
      </c>
    </row>
    <row r="146" spans="2:11" x14ac:dyDescent="0.2">
      <c r="B146" s="75" t="s">
        <v>674</v>
      </c>
      <c r="C146" s="75" t="s">
        <v>675</v>
      </c>
      <c r="D146" s="76" t="s">
        <v>828</v>
      </c>
      <c r="E146" s="77" t="s">
        <v>677</v>
      </c>
      <c r="F146" s="77" t="s">
        <v>134</v>
      </c>
      <c r="G146" s="77" t="s">
        <v>87</v>
      </c>
      <c r="H146" s="77">
        <v>3</v>
      </c>
      <c r="I146" s="77" t="s">
        <v>94</v>
      </c>
      <c r="J146" s="77">
        <v>182.53</v>
      </c>
      <c r="K146" s="70">
        <v>4400000</v>
      </c>
    </row>
    <row r="147" spans="2:11" x14ac:dyDescent="0.2">
      <c r="B147" s="75" t="s">
        <v>674</v>
      </c>
      <c r="C147" s="75" t="s">
        <v>675</v>
      </c>
      <c r="D147" s="76" t="s">
        <v>829</v>
      </c>
      <c r="E147" s="77" t="s">
        <v>677</v>
      </c>
      <c r="F147" s="77" t="s">
        <v>142</v>
      </c>
      <c r="G147" s="77" t="s">
        <v>87</v>
      </c>
      <c r="H147" s="77">
        <v>3</v>
      </c>
      <c r="I147" s="77" t="s">
        <v>94</v>
      </c>
      <c r="J147" s="77">
        <v>182.53</v>
      </c>
      <c r="K147" s="70">
        <v>4400000</v>
      </c>
    </row>
    <row r="148" spans="2:11" x14ac:dyDescent="0.2">
      <c r="B148" s="75" t="s">
        <v>674</v>
      </c>
      <c r="C148" s="75" t="s">
        <v>675</v>
      </c>
      <c r="D148" s="76" t="s">
        <v>830</v>
      </c>
      <c r="E148" s="77" t="s">
        <v>677</v>
      </c>
      <c r="F148" s="77" t="s">
        <v>143</v>
      </c>
      <c r="G148" s="77" t="s">
        <v>87</v>
      </c>
      <c r="H148" s="77">
        <v>3</v>
      </c>
      <c r="I148" s="77" t="s">
        <v>578</v>
      </c>
      <c r="J148" s="77">
        <v>182.53</v>
      </c>
      <c r="K148" s="70">
        <v>4400000</v>
      </c>
    </row>
    <row r="149" spans="2:11" x14ac:dyDescent="0.2">
      <c r="B149" s="75" t="s">
        <v>674</v>
      </c>
      <c r="C149" s="75" t="s">
        <v>675</v>
      </c>
      <c r="D149" s="76" t="s">
        <v>831</v>
      </c>
      <c r="E149" s="77" t="s">
        <v>677</v>
      </c>
      <c r="F149" s="77" t="s">
        <v>490</v>
      </c>
      <c r="G149" s="77" t="s">
        <v>87</v>
      </c>
      <c r="H149" s="77">
        <v>4</v>
      </c>
      <c r="I149" s="77" t="s">
        <v>578</v>
      </c>
      <c r="J149" s="77">
        <v>182.53</v>
      </c>
      <c r="K149" s="70">
        <v>4400000</v>
      </c>
    </row>
    <row r="150" spans="2:11" x14ac:dyDescent="0.2">
      <c r="B150" s="75" t="s">
        <v>674</v>
      </c>
      <c r="C150" s="75" t="s">
        <v>675</v>
      </c>
      <c r="D150" s="76" t="s">
        <v>832</v>
      </c>
      <c r="E150" s="77" t="s">
        <v>677</v>
      </c>
      <c r="F150" s="77" t="s">
        <v>149</v>
      </c>
      <c r="G150" s="77" t="s">
        <v>87</v>
      </c>
      <c r="H150" s="77">
        <v>4</v>
      </c>
      <c r="I150" s="77" t="s">
        <v>94</v>
      </c>
      <c r="J150" s="77">
        <v>182.53</v>
      </c>
      <c r="K150" s="70">
        <v>4400000</v>
      </c>
    </row>
    <row r="151" spans="2:11" x14ac:dyDescent="0.2">
      <c r="B151" s="75" t="s">
        <v>674</v>
      </c>
      <c r="C151" s="75" t="s">
        <v>675</v>
      </c>
      <c r="D151" s="76" t="s">
        <v>833</v>
      </c>
      <c r="E151" s="77" t="s">
        <v>677</v>
      </c>
      <c r="F151" s="77" t="s">
        <v>492</v>
      </c>
      <c r="G151" s="77" t="s">
        <v>87</v>
      </c>
      <c r="H151" s="77">
        <v>4</v>
      </c>
      <c r="I151" s="77" t="s">
        <v>94</v>
      </c>
      <c r="J151" s="77">
        <v>182.53</v>
      </c>
      <c r="K151" s="70">
        <v>4400000</v>
      </c>
    </row>
    <row r="152" spans="2:11" x14ac:dyDescent="0.2">
      <c r="B152" s="75" t="s">
        <v>674</v>
      </c>
      <c r="C152" s="75" t="s">
        <v>675</v>
      </c>
      <c r="D152" s="76" t="s">
        <v>834</v>
      </c>
      <c r="E152" s="77" t="s">
        <v>677</v>
      </c>
      <c r="F152" s="77" t="s">
        <v>156</v>
      </c>
      <c r="G152" s="77" t="s">
        <v>87</v>
      </c>
      <c r="H152" s="77">
        <v>4</v>
      </c>
      <c r="I152" s="77" t="s">
        <v>578</v>
      </c>
      <c r="J152" s="77">
        <v>182.53</v>
      </c>
      <c r="K152" s="70">
        <v>4400000</v>
      </c>
    </row>
    <row r="153" spans="2:11" x14ac:dyDescent="0.2">
      <c r="B153" s="75" t="s">
        <v>674</v>
      </c>
      <c r="C153" s="75" t="s">
        <v>675</v>
      </c>
      <c r="D153" s="76" t="s">
        <v>835</v>
      </c>
      <c r="E153" s="77" t="s">
        <v>677</v>
      </c>
      <c r="F153" s="77" t="s">
        <v>493</v>
      </c>
      <c r="G153" s="77" t="s">
        <v>87</v>
      </c>
      <c r="H153" s="77">
        <v>5</v>
      </c>
      <c r="I153" s="77" t="s">
        <v>578</v>
      </c>
      <c r="J153" s="77">
        <v>182.53</v>
      </c>
      <c r="K153" s="70">
        <v>4400000</v>
      </c>
    </row>
    <row r="154" spans="2:11" x14ac:dyDescent="0.2">
      <c r="B154" s="75" t="s">
        <v>674</v>
      </c>
      <c r="C154" s="75" t="s">
        <v>675</v>
      </c>
      <c r="D154" s="76" t="s">
        <v>836</v>
      </c>
      <c r="E154" s="77" t="s">
        <v>677</v>
      </c>
      <c r="F154" s="77" t="s">
        <v>163</v>
      </c>
      <c r="G154" s="77" t="s">
        <v>87</v>
      </c>
      <c r="H154" s="77">
        <v>5</v>
      </c>
      <c r="I154" s="77" t="s">
        <v>94</v>
      </c>
      <c r="J154" s="77">
        <v>182.53</v>
      </c>
      <c r="K154" s="70">
        <v>4400000</v>
      </c>
    </row>
    <row r="155" spans="2:11" x14ac:dyDescent="0.2">
      <c r="B155" s="75" t="s">
        <v>674</v>
      </c>
      <c r="C155" s="75" t="s">
        <v>675</v>
      </c>
      <c r="D155" s="76" t="s">
        <v>837</v>
      </c>
      <c r="E155" s="77" t="s">
        <v>677</v>
      </c>
      <c r="F155" s="77" t="s">
        <v>494</v>
      </c>
      <c r="G155" s="77" t="s">
        <v>87</v>
      </c>
      <c r="H155" s="77">
        <v>5</v>
      </c>
      <c r="I155" s="77" t="s">
        <v>94</v>
      </c>
      <c r="J155" s="77">
        <v>182.53</v>
      </c>
      <c r="K155" s="70">
        <v>4400000</v>
      </c>
    </row>
    <row r="156" spans="2:11" x14ac:dyDescent="0.2">
      <c r="B156" s="75" t="s">
        <v>674</v>
      </c>
      <c r="C156" s="75" t="s">
        <v>675</v>
      </c>
      <c r="D156" s="76" t="s">
        <v>838</v>
      </c>
      <c r="E156" s="77" t="s">
        <v>677</v>
      </c>
      <c r="F156" s="77" t="s">
        <v>495</v>
      </c>
      <c r="G156" s="77" t="s">
        <v>87</v>
      </c>
      <c r="H156" s="77">
        <v>5</v>
      </c>
      <c r="I156" s="77" t="s">
        <v>578</v>
      </c>
      <c r="J156" s="77">
        <v>182.53</v>
      </c>
      <c r="K156" s="70">
        <v>4400000</v>
      </c>
    </row>
    <row r="157" spans="2:11" x14ac:dyDescent="0.2">
      <c r="B157" s="75" t="s">
        <v>674</v>
      </c>
      <c r="C157" s="75" t="s">
        <v>675</v>
      </c>
      <c r="D157" s="76" t="s">
        <v>839</v>
      </c>
      <c r="E157" s="77" t="s">
        <v>677</v>
      </c>
      <c r="F157" s="77" t="s">
        <v>177</v>
      </c>
      <c r="G157" s="77" t="s">
        <v>87</v>
      </c>
      <c r="H157" s="77">
        <v>6</v>
      </c>
      <c r="I157" s="77" t="s">
        <v>578</v>
      </c>
      <c r="J157" s="77">
        <v>182.53</v>
      </c>
      <c r="K157" s="70">
        <v>4400000</v>
      </c>
    </row>
    <row r="158" spans="2:11" x14ac:dyDescent="0.2">
      <c r="B158" s="75" t="s">
        <v>674</v>
      </c>
      <c r="C158" s="75" t="s">
        <v>675</v>
      </c>
      <c r="D158" s="76" t="s">
        <v>840</v>
      </c>
      <c r="E158" s="77" t="s">
        <v>677</v>
      </c>
      <c r="F158" s="77" t="s">
        <v>178</v>
      </c>
      <c r="G158" s="77" t="s">
        <v>87</v>
      </c>
      <c r="H158" s="77">
        <v>6</v>
      </c>
      <c r="I158" s="77" t="s">
        <v>94</v>
      </c>
      <c r="J158" s="77">
        <v>182.53</v>
      </c>
      <c r="K158" s="70">
        <v>4400000</v>
      </c>
    </row>
    <row r="159" spans="2:11" x14ac:dyDescent="0.2">
      <c r="B159" s="75" t="s">
        <v>674</v>
      </c>
      <c r="C159" s="75" t="s">
        <v>675</v>
      </c>
      <c r="D159" s="76" t="s">
        <v>841</v>
      </c>
      <c r="E159" s="77" t="s">
        <v>677</v>
      </c>
      <c r="F159" s="77" t="s">
        <v>496</v>
      </c>
      <c r="G159" s="77" t="s">
        <v>87</v>
      </c>
      <c r="H159" s="77">
        <v>6</v>
      </c>
      <c r="I159" s="77" t="s">
        <v>94</v>
      </c>
      <c r="J159" s="77">
        <v>182.53</v>
      </c>
      <c r="K159" s="70">
        <v>4400000</v>
      </c>
    </row>
    <row r="160" spans="2:11" x14ac:dyDescent="0.2">
      <c r="B160" s="75" t="s">
        <v>674</v>
      </c>
      <c r="C160" s="75" t="s">
        <v>675</v>
      </c>
      <c r="D160" s="76" t="s">
        <v>842</v>
      </c>
      <c r="E160" s="77" t="s">
        <v>677</v>
      </c>
      <c r="F160" s="77" t="s">
        <v>186</v>
      </c>
      <c r="G160" s="77" t="s">
        <v>87</v>
      </c>
      <c r="H160" s="77">
        <v>6</v>
      </c>
      <c r="I160" s="77" t="s">
        <v>578</v>
      </c>
      <c r="J160" s="77">
        <v>182.53</v>
      </c>
      <c r="K160" s="70">
        <v>4400000</v>
      </c>
    </row>
    <row r="161" spans="2:11" x14ac:dyDescent="0.2">
      <c r="B161" s="75" t="s">
        <v>674</v>
      </c>
      <c r="C161" s="75" t="s">
        <v>675</v>
      </c>
      <c r="D161" s="76" t="s">
        <v>843</v>
      </c>
      <c r="E161" s="77" t="s">
        <v>677</v>
      </c>
      <c r="F161" s="77" t="s">
        <v>497</v>
      </c>
      <c r="G161" s="77" t="s">
        <v>87</v>
      </c>
      <c r="H161" s="77">
        <v>7</v>
      </c>
      <c r="I161" s="77" t="s">
        <v>578</v>
      </c>
      <c r="J161" s="77">
        <v>182.53</v>
      </c>
      <c r="K161" s="70">
        <v>4400000</v>
      </c>
    </row>
    <row r="162" spans="2:11" x14ac:dyDescent="0.2">
      <c r="B162" s="75" t="s">
        <v>674</v>
      </c>
      <c r="C162" s="75" t="s">
        <v>675</v>
      </c>
      <c r="D162" s="76" t="s">
        <v>844</v>
      </c>
      <c r="E162" s="77" t="s">
        <v>677</v>
      </c>
      <c r="F162" s="77" t="s">
        <v>498</v>
      </c>
      <c r="G162" s="77" t="s">
        <v>87</v>
      </c>
      <c r="H162" s="77">
        <v>7</v>
      </c>
      <c r="I162" s="77" t="s">
        <v>94</v>
      </c>
      <c r="J162" s="77">
        <v>182.53</v>
      </c>
      <c r="K162" s="70">
        <v>4400000</v>
      </c>
    </row>
    <row r="163" spans="2:11" x14ac:dyDescent="0.2">
      <c r="B163" s="75" t="s">
        <v>674</v>
      </c>
      <c r="C163" s="75" t="s">
        <v>675</v>
      </c>
      <c r="D163" s="76" t="s">
        <v>845</v>
      </c>
      <c r="E163" s="77" t="s">
        <v>677</v>
      </c>
      <c r="F163" s="77" t="s">
        <v>500</v>
      </c>
      <c r="G163" s="77" t="s">
        <v>87</v>
      </c>
      <c r="H163" s="77">
        <v>7</v>
      </c>
      <c r="I163" s="77" t="s">
        <v>94</v>
      </c>
      <c r="J163" s="77">
        <v>182.53</v>
      </c>
      <c r="K163" s="70">
        <v>4400000</v>
      </c>
    </row>
    <row r="164" spans="2:11" x14ac:dyDescent="0.2">
      <c r="B164" s="75" t="s">
        <v>674</v>
      </c>
      <c r="C164" s="75" t="s">
        <v>675</v>
      </c>
      <c r="D164" s="76" t="s">
        <v>846</v>
      </c>
      <c r="E164" s="77" t="s">
        <v>677</v>
      </c>
      <c r="F164" s="77" t="s">
        <v>199</v>
      </c>
      <c r="G164" s="77" t="s">
        <v>87</v>
      </c>
      <c r="H164" s="77">
        <v>7</v>
      </c>
      <c r="I164" s="77" t="s">
        <v>578</v>
      </c>
      <c r="J164" s="77">
        <v>182.53</v>
      </c>
      <c r="K164" s="70">
        <v>4400000</v>
      </c>
    </row>
    <row r="165" spans="2:11" x14ac:dyDescent="0.2">
      <c r="B165" s="75" t="s">
        <v>674</v>
      </c>
      <c r="C165" s="75" t="s">
        <v>675</v>
      </c>
      <c r="D165" s="76" t="s">
        <v>847</v>
      </c>
      <c r="E165" s="77" t="s">
        <v>677</v>
      </c>
      <c r="F165" s="77" t="s">
        <v>205</v>
      </c>
      <c r="G165" s="77" t="s">
        <v>87</v>
      </c>
      <c r="H165" s="77">
        <v>8</v>
      </c>
      <c r="I165" s="77" t="s">
        <v>578</v>
      </c>
      <c r="J165" s="77">
        <v>182.53</v>
      </c>
      <c r="K165" s="70">
        <v>4400000</v>
      </c>
    </row>
    <row r="166" spans="2:11" x14ac:dyDescent="0.2">
      <c r="B166" s="75" t="s">
        <v>674</v>
      </c>
      <c r="C166" s="75" t="s">
        <v>675</v>
      </c>
      <c r="D166" s="76" t="s">
        <v>848</v>
      </c>
      <c r="E166" s="77" t="s">
        <v>677</v>
      </c>
      <c r="F166" s="77" t="s">
        <v>206</v>
      </c>
      <c r="G166" s="77" t="s">
        <v>87</v>
      </c>
      <c r="H166" s="77">
        <v>8</v>
      </c>
      <c r="I166" s="77" t="s">
        <v>94</v>
      </c>
      <c r="J166" s="77">
        <v>182.53</v>
      </c>
      <c r="K166" s="70">
        <v>4400000</v>
      </c>
    </row>
    <row r="167" spans="2:11" x14ac:dyDescent="0.2">
      <c r="B167" s="75" t="s">
        <v>674</v>
      </c>
      <c r="C167" s="75" t="s">
        <v>675</v>
      </c>
      <c r="D167" s="76" t="s">
        <v>849</v>
      </c>
      <c r="E167" s="77" t="s">
        <v>677</v>
      </c>
      <c r="F167" s="77" t="s">
        <v>211</v>
      </c>
      <c r="G167" s="77" t="s">
        <v>87</v>
      </c>
      <c r="H167" s="77">
        <v>8</v>
      </c>
      <c r="I167" s="77" t="s">
        <v>94</v>
      </c>
      <c r="J167" s="77">
        <v>182.53</v>
      </c>
      <c r="K167" s="70">
        <v>4400000</v>
      </c>
    </row>
    <row r="168" spans="2:11" x14ac:dyDescent="0.2">
      <c r="B168" s="75" t="s">
        <v>674</v>
      </c>
      <c r="C168" s="75" t="s">
        <v>675</v>
      </c>
      <c r="D168" s="76" t="s">
        <v>850</v>
      </c>
      <c r="E168" s="77" t="s">
        <v>677</v>
      </c>
      <c r="F168" s="77" t="s">
        <v>212</v>
      </c>
      <c r="G168" s="77" t="s">
        <v>87</v>
      </c>
      <c r="H168" s="77">
        <v>8</v>
      </c>
      <c r="I168" s="77" t="s">
        <v>578</v>
      </c>
      <c r="J168" s="77">
        <v>182.53</v>
      </c>
      <c r="K168" s="70">
        <v>4400000</v>
      </c>
    </row>
    <row r="169" spans="2:11" x14ac:dyDescent="0.2">
      <c r="B169" s="75" t="s">
        <v>674</v>
      </c>
      <c r="C169" s="75" t="s">
        <v>675</v>
      </c>
      <c r="D169" s="76" t="s">
        <v>851</v>
      </c>
      <c r="E169" s="77" t="s">
        <v>677</v>
      </c>
      <c r="F169" s="77" t="s">
        <v>215</v>
      </c>
      <c r="G169" s="77" t="s">
        <v>87</v>
      </c>
      <c r="H169" s="77">
        <v>9</v>
      </c>
      <c r="I169" s="77" t="s">
        <v>578</v>
      </c>
      <c r="J169" s="77">
        <v>182.53</v>
      </c>
      <c r="K169" s="70">
        <v>4400000</v>
      </c>
    </row>
    <row r="170" spans="2:11" x14ac:dyDescent="0.2">
      <c r="B170" s="75" t="s">
        <v>674</v>
      </c>
      <c r="C170" s="75" t="s">
        <v>675</v>
      </c>
      <c r="D170" s="76" t="s">
        <v>852</v>
      </c>
      <c r="E170" s="77" t="s">
        <v>677</v>
      </c>
      <c r="F170" s="77" t="s">
        <v>216</v>
      </c>
      <c r="G170" s="77" t="s">
        <v>87</v>
      </c>
      <c r="H170" s="77">
        <v>9</v>
      </c>
      <c r="I170" s="77" t="s">
        <v>94</v>
      </c>
      <c r="J170" s="77">
        <v>182.53</v>
      </c>
      <c r="K170" s="70">
        <v>4400000</v>
      </c>
    </row>
    <row r="171" spans="2:11" x14ac:dyDescent="0.2">
      <c r="B171" s="75" t="s">
        <v>674</v>
      </c>
      <c r="C171" s="75" t="s">
        <v>675</v>
      </c>
      <c r="D171" s="76" t="s">
        <v>853</v>
      </c>
      <c r="E171" s="77" t="s">
        <v>677</v>
      </c>
      <c r="F171" s="77" t="s">
        <v>222</v>
      </c>
      <c r="G171" s="77" t="s">
        <v>87</v>
      </c>
      <c r="H171" s="77">
        <v>9</v>
      </c>
      <c r="I171" s="77" t="s">
        <v>94</v>
      </c>
      <c r="J171" s="77">
        <v>182.53</v>
      </c>
      <c r="K171" s="70">
        <v>4400000</v>
      </c>
    </row>
    <row r="172" spans="2:11" x14ac:dyDescent="0.2">
      <c r="B172" s="75" t="s">
        <v>674</v>
      </c>
      <c r="C172" s="75" t="s">
        <v>675</v>
      </c>
      <c r="D172" s="76" t="s">
        <v>854</v>
      </c>
      <c r="E172" s="77" t="s">
        <v>677</v>
      </c>
      <c r="F172" s="77" t="s">
        <v>223</v>
      </c>
      <c r="G172" s="77" t="s">
        <v>87</v>
      </c>
      <c r="H172" s="77">
        <v>9</v>
      </c>
      <c r="I172" s="77" t="s">
        <v>578</v>
      </c>
      <c r="J172" s="77">
        <v>182.53</v>
      </c>
      <c r="K172" s="70">
        <v>4400000</v>
      </c>
    </row>
    <row r="173" spans="2:11" x14ac:dyDescent="0.2">
      <c r="B173" s="75" t="s">
        <v>674</v>
      </c>
      <c r="C173" s="75" t="s">
        <v>675</v>
      </c>
      <c r="D173" s="76" t="s">
        <v>855</v>
      </c>
      <c r="E173" s="77" t="s">
        <v>677</v>
      </c>
      <c r="F173" s="77" t="s">
        <v>225</v>
      </c>
      <c r="G173" s="77" t="s">
        <v>87</v>
      </c>
      <c r="H173" s="77">
        <v>10</v>
      </c>
      <c r="I173" s="77" t="s">
        <v>578</v>
      </c>
      <c r="J173" s="77">
        <v>182.53</v>
      </c>
      <c r="K173" s="70">
        <v>4400000</v>
      </c>
    </row>
    <row r="174" spans="2:11" x14ac:dyDescent="0.2">
      <c r="B174" s="75" t="s">
        <v>674</v>
      </c>
      <c r="C174" s="75" t="s">
        <v>675</v>
      </c>
      <c r="D174" s="76" t="s">
        <v>856</v>
      </c>
      <c r="E174" s="77" t="s">
        <v>677</v>
      </c>
      <c r="F174" s="77" t="s">
        <v>226</v>
      </c>
      <c r="G174" s="77" t="s">
        <v>87</v>
      </c>
      <c r="H174" s="77">
        <v>10</v>
      </c>
      <c r="I174" s="77" t="s">
        <v>94</v>
      </c>
      <c r="J174" s="77">
        <v>182.53</v>
      </c>
      <c r="K174" s="70">
        <v>4400000</v>
      </c>
    </row>
    <row r="175" spans="2:11" x14ac:dyDescent="0.2">
      <c r="B175" s="75" t="s">
        <v>674</v>
      </c>
      <c r="C175" s="75" t="s">
        <v>675</v>
      </c>
      <c r="D175" s="76" t="s">
        <v>857</v>
      </c>
      <c r="E175" s="77" t="s">
        <v>677</v>
      </c>
      <c r="F175" s="77" t="s">
        <v>231</v>
      </c>
      <c r="G175" s="77" t="s">
        <v>87</v>
      </c>
      <c r="H175" s="77">
        <v>10</v>
      </c>
      <c r="I175" s="77" t="s">
        <v>94</v>
      </c>
      <c r="J175" s="77">
        <v>182.53</v>
      </c>
      <c r="K175" s="70">
        <v>4400000</v>
      </c>
    </row>
    <row r="176" spans="2:11" x14ac:dyDescent="0.2">
      <c r="B176" s="75" t="s">
        <v>674</v>
      </c>
      <c r="C176" s="75" t="s">
        <v>675</v>
      </c>
      <c r="D176" s="76" t="s">
        <v>858</v>
      </c>
      <c r="E176" s="77" t="s">
        <v>677</v>
      </c>
      <c r="F176" s="77" t="s">
        <v>232</v>
      </c>
      <c r="G176" s="77" t="s">
        <v>87</v>
      </c>
      <c r="H176" s="77">
        <v>10</v>
      </c>
      <c r="I176" s="77" t="s">
        <v>578</v>
      </c>
      <c r="J176" s="77">
        <v>182.53</v>
      </c>
      <c r="K176" s="70">
        <v>4400000</v>
      </c>
    </row>
    <row r="177" spans="2:11" x14ac:dyDescent="0.2">
      <c r="B177" s="75" t="s">
        <v>674</v>
      </c>
      <c r="C177" s="75" t="s">
        <v>675</v>
      </c>
      <c r="D177" s="76" t="s">
        <v>859</v>
      </c>
      <c r="E177" s="77" t="s">
        <v>677</v>
      </c>
      <c r="F177" s="77" t="s">
        <v>461</v>
      </c>
      <c r="G177" s="77" t="s">
        <v>78</v>
      </c>
      <c r="H177" s="77">
        <v>11</v>
      </c>
      <c r="I177" s="77" t="s">
        <v>94</v>
      </c>
      <c r="J177" s="77">
        <v>182.53</v>
      </c>
      <c r="K177" s="70">
        <v>4400000</v>
      </c>
    </row>
    <row r="178" spans="2:11" x14ac:dyDescent="0.2">
      <c r="B178" s="75" t="s">
        <v>674</v>
      </c>
      <c r="C178" s="75" t="s">
        <v>675</v>
      </c>
      <c r="D178" s="76" t="s">
        <v>860</v>
      </c>
      <c r="E178" s="77" t="s">
        <v>677</v>
      </c>
      <c r="F178" s="77" t="s">
        <v>462</v>
      </c>
      <c r="G178" s="77" t="s">
        <v>78</v>
      </c>
      <c r="H178" s="77">
        <v>11</v>
      </c>
      <c r="I178" s="77" t="s">
        <v>578</v>
      </c>
      <c r="J178" s="77">
        <v>182.53</v>
      </c>
      <c r="K178" s="70">
        <v>4400000</v>
      </c>
    </row>
    <row r="179" spans="2:11" x14ac:dyDescent="0.2">
      <c r="B179" s="75" t="s">
        <v>674</v>
      </c>
      <c r="C179" s="75" t="s">
        <v>675</v>
      </c>
      <c r="D179" s="76" t="s">
        <v>861</v>
      </c>
      <c r="E179" s="77" t="s">
        <v>677</v>
      </c>
      <c r="F179" s="77" t="s">
        <v>470</v>
      </c>
      <c r="G179" s="77" t="s">
        <v>78</v>
      </c>
      <c r="H179" s="77">
        <v>11</v>
      </c>
      <c r="I179" s="77" t="s">
        <v>578</v>
      </c>
      <c r="J179" s="77">
        <v>182.53</v>
      </c>
      <c r="K179" s="70">
        <v>4400000</v>
      </c>
    </row>
    <row r="180" spans="2:11" x14ac:dyDescent="0.2">
      <c r="B180" s="75" t="s">
        <v>674</v>
      </c>
      <c r="C180" s="75" t="s">
        <v>675</v>
      </c>
      <c r="D180" s="76" t="s">
        <v>862</v>
      </c>
      <c r="E180" s="77" t="s">
        <v>677</v>
      </c>
      <c r="F180" s="77" t="s">
        <v>471</v>
      </c>
      <c r="G180" s="77" t="s">
        <v>78</v>
      </c>
      <c r="H180" s="77">
        <v>11</v>
      </c>
      <c r="I180" s="77" t="s">
        <v>94</v>
      </c>
      <c r="J180" s="77">
        <v>182.53</v>
      </c>
      <c r="K180" s="70">
        <v>4400000</v>
      </c>
    </row>
    <row r="181" spans="2:11" x14ac:dyDescent="0.2">
      <c r="B181" s="75" t="s">
        <v>674</v>
      </c>
      <c r="C181" s="75" t="s">
        <v>675</v>
      </c>
      <c r="D181" s="76" t="s">
        <v>863</v>
      </c>
      <c r="E181" s="77" t="s">
        <v>677</v>
      </c>
      <c r="F181" s="77" t="s">
        <v>487</v>
      </c>
      <c r="G181" s="77" t="s">
        <v>864</v>
      </c>
      <c r="H181" s="77">
        <v>0</v>
      </c>
      <c r="I181" s="77" t="s">
        <v>94</v>
      </c>
      <c r="J181" s="77">
        <v>184.41</v>
      </c>
      <c r="K181" s="70">
        <v>4400000</v>
      </c>
    </row>
    <row r="182" spans="2:11" x14ac:dyDescent="0.2">
      <c r="B182" s="75" t="s">
        <v>674</v>
      </c>
      <c r="C182" s="75" t="s">
        <v>675</v>
      </c>
      <c r="D182" s="76" t="s">
        <v>865</v>
      </c>
      <c r="E182" s="77" t="s">
        <v>677</v>
      </c>
      <c r="F182" s="77" t="s">
        <v>122</v>
      </c>
      <c r="G182" s="77" t="s">
        <v>866</v>
      </c>
      <c r="H182" s="77">
        <v>0</v>
      </c>
      <c r="I182" s="77" t="s">
        <v>578</v>
      </c>
      <c r="J182" s="77">
        <v>201.27</v>
      </c>
      <c r="K182" s="70">
        <v>4400000</v>
      </c>
    </row>
    <row r="183" spans="2:11" x14ac:dyDescent="0.2">
      <c r="B183" s="75" t="s">
        <v>674</v>
      </c>
      <c r="C183" s="75" t="s">
        <v>675</v>
      </c>
      <c r="D183" s="76" t="s">
        <v>867</v>
      </c>
      <c r="E183" s="77" t="s">
        <v>677</v>
      </c>
      <c r="F183" s="77" t="s">
        <v>448</v>
      </c>
      <c r="G183" s="77" t="s">
        <v>868</v>
      </c>
      <c r="H183" s="77">
        <v>0</v>
      </c>
      <c r="I183" s="77" t="s">
        <v>869</v>
      </c>
      <c r="J183" s="77">
        <v>248.93</v>
      </c>
      <c r="K183" s="70">
        <v>4400000</v>
      </c>
    </row>
    <row r="184" spans="2:11" x14ac:dyDescent="0.2">
      <c r="B184" s="75" t="s">
        <v>674</v>
      </c>
      <c r="C184" s="75" t="s">
        <v>675</v>
      </c>
      <c r="D184" s="76" t="s">
        <v>870</v>
      </c>
      <c r="E184" s="77" t="s">
        <v>677</v>
      </c>
      <c r="F184" s="77" t="s">
        <v>233</v>
      </c>
      <c r="G184" s="77" t="s">
        <v>871</v>
      </c>
      <c r="H184" s="77">
        <v>12</v>
      </c>
      <c r="I184" s="77" t="s">
        <v>578</v>
      </c>
      <c r="J184" s="77">
        <v>264.17</v>
      </c>
      <c r="K184" s="70">
        <v>7160000</v>
      </c>
    </row>
    <row r="185" spans="2:11" x14ac:dyDescent="0.2">
      <c r="B185" s="75" t="s">
        <v>674</v>
      </c>
      <c r="C185" s="75" t="s">
        <v>675</v>
      </c>
      <c r="D185" s="76" t="s">
        <v>872</v>
      </c>
      <c r="E185" s="77" t="s">
        <v>677</v>
      </c>
      <c r="F185" s="77" t="s">
        <v>476</v>
      </c>
      <c r="G185" s="77" t="s">
        <v>873</v>
      </c>
      <c r="H185" s="77">
        <v>12</v>
      </c>
      <c r="I185" s="77" t="s">
        <v>94</v>
      </c>
      <c r="J185" s="77">
        <v>264.17</v>
      </c>
      <c r="K185" s="70">
        <v>7160000</v>
      </c>
    </row>
    <row r="186" spans="2:11" x14ac:dyDescent="0.2">
      <c r="B186" s="75" t="s">
        <v>674</v>
      </c>
      <c r="C186" s="75" t="s">
        <v>675</v>
      </c>
      <c r="D186" s="76" t="s">
        <v>874</v>
      </c>
      <c r="E186" s="77" t="s">
        <v>677</v>
      </c>
      <c r="F186" s="77" t="s">
        <v>477</v>
      </c>
      <c r="G186" s="77" t="s">
        <v>875</v>
      </c>
      <c r="H186" s="77">
        <v>12</v>
      </c>
      <c r="I186" s="77" t="s">
        <v>578</v>
      </c>
      <c r="J186" s="77">
        <v>264.17</v>
      </c>
      <c r="K186" s="70">
        <v>7160000</v>
      </c>
    </row>
    <row r="187" spans="2:11" x14ac:dyDescent="0.2">
      <c r="B187" s="75" t="s">
        <v>674</v>
      </c>
      <c r="C187" s="75" t="s">
        <v>675</v>
      </c>
      <c r="D187" s="76" t="s">
        <v>876</v>
      </c>
      <c r="E187" s="77" t="s">
        <v>677</v>
      </c>
      <c r="F187" s="77" t="s">
        <v>236</v>
      </c>
      <c r="G187" s="77" t="s">
        <v>875</v>
      </c>
      <c r="H187" s="77">
        <v>12</v>
      </c>
      <c r="I187" s="77" t="s">
        <v>94</v>
      </c>
      <c r="J187" s="77">
        <v>264.17</v>
      </c>
      <c r="K187" s="70">
        <v>7160000</v>
      </c>
    </row>
    <row r="188" spans="2:11" x14ac:dyDescent="0.2">
      <c r="B188" s="75" t="s">
        <v>674</v>
      </c>
      <c r="C188" s="75" t="s">
        <v>675</v>
      </c>
      <c r="D188" s="76" t="s">
        <v>877</v>
      </c>
      <c r="E188" s="77" t="s">
        <v>677</v>
      </c>
      <c r="F188" s="77" t="s">
        <v>241</v>
      </c>
      <c r="G188" s="77" t="s">
        <v>875</v>
      </c>
      <c r="H188" s="77">
        <v>12</v>
      </c>
      <c r="I188" s="77" t="s">
        <v>94</v>
      </c>
      <c r="J188" s="77">
        <v>264.17</v>
      </c>
      <c r="K188" s="70">
        <v>7160000</v>
      </c>
    </row>
    <row r="189" spans="2:11" x14ac:dyDescent="0.2">
      <c r="B189" s="75" t="s">
        <v>674</v>
      </c>
      <c r="C189" s="75" t="s">
        <v>675</v>
      </c>
      <c r="D189" s="76" t="s">
        <v>878</v>
      </c>
      <c r="E189" s="77" t="s">
        <v>677</v>
      </c>
      <c r="F189" s="77" t="s">
        <v>480</v>
      </c>
      <c r="G189" s="77" t="s">
        <v>875</v>
      </c>
      <c r="H189" s="77">
        <v>12</v>
      </c>
      <c r="I189" s="77" t="s">
        <v>578</v>
      </c>
      <c r="J189" s="77">
        <v>264.17</v>
      </c>
      <c r="K189" s="70">
        <v>7160000</v>
      </c>
    </row>
    <row r="190" spans="2:11" x14ac:dyDescent="0.2">
      <c r="B190" s="75" t="s">
        <v>674</v>
      </c>
      <c r="C190" s="75" t="s">
        <v>675</v>
      </c>
      <c r="D190" s="76" t="s">
        <v>879</v>
      </c>
      <c r="E190" s="77" t="s">
        <v>677</v>
      </c>
      <c r="F190" s="77" t="s">
        <v>243</v>
      </c>
      <c r="G190" s="77" t="s">
        <v>873</v>
      </c>
      <c r="H190" s="77">
        <v>12</v>
      </c>
      <c r="I190" s="77" t="s">
        <v>94</v>
      </c>
      <c r="J190" s="77">
        <v>264.17</v>
      </c>
      <c r="K190" s="70">
        <v>7160000</v>
      </c>
    </row>
    <row r="191" spans="2:11" x14ac:dyDescent="0.2">
      <c r="B191" s="75" t="s">
        <v>674</v>
      </c>
      <c r="C191" s="75" t="s">
        <v>675</v>
      </c>
      <c r="D191" s="76" t="s">
        <v>880</v>
      </c>
      <c r="E191" s="77" t="s">
        <v>677</v>
      </c>
      <c r="F191" s="77" t="s">
        <v>244</v>
      </c>
      <c r="G191" s="77" t="s">
        <v>871</v>
      </c>
      <c r="H191" s="77">
        <v>12</v>
      </c>
      <c r="I191" s="77" t="s">
        <v>578</v>
      </c>
      <c r="J191" s="77">
        <v>264.17</v>
      </c>
      <c r="K191" s="70">
        <v>7160000</v>
      </c>
    </row>
    <row r="192" spans="2:11" x14ac:dyDescent="0.2">
      <c r="B192" s="75" t="s">
        <v>674</v>
      </c>
      <c r="C192" s="75" t="s">
        <v>675</v>
      </c>
      <c r="D192" s="76" t="s">
        <v>881</v>
      </c>
      <c r="E192" s="77" t="s">
        <v>677</v>
      </c>
      <c r="F192" s="77" t="s">
        <v>234</v>
      </c>
      <c r="G192" s="77" t="s">
        <v>882</v>
      </c>
      <c r="H192" s="77">
        <v>12</v>
      </c>
      <c r="I192" s="77" t="s">
        <v>578</v>
      </c>
      <c r="J192" s="77">
        <v>303.63</v>
      </c>
      <c r="K192" s="70">
        <v>7160000</v>
      </c>
    </row>
    <row r="193" spans="2:11" x14ac:dyDescent="0.2">
      <c r="B193" s="75" t="s">
        <v>674</v>
      </c>
      <c r="C193" s="75" t="s">
        <v>675</v>
      </c>
      <c r="D193" s="76" t="s">
        <v>883</v>
      </c>
      <c r="E193" s="77" t="s">
        <v>677</v>
      </c>
      <c r="F193" s="77" t="s">
        <v>235</v>
      </c>
      <c r="G193" s="77" t="s">
        <v>882</v>
      </c>
      <c r="H193" s="77">
        <v>12</v>
      </c>
      <c r="I193" s="77" t="s">
        <v>94</v>
      </c>
      <c r="J193" s="77">
        <v>303.63</v>
      </c>
      <c r="K193" s="70">
        <v>7160000</v>
      </c>
    </row>
    <row r="194" spans="2:11" x14ac:dyDescent="0.2">
      <c r="B194" s="75" t="s">
        <v>674</v>
      </c>
      <c r="C194" s="75" t="s">
        <v>675</v>
      </c>
      <c r="D194" s="76" t="s">
        <v>884</v>
      </c>
      <c r="E194" s="77" t="s">
        <v>677</v>
      </c>
      <c r="F194" s="77" t="s">
        <v>242</v>
      </c>
      <c r="G194" s="77" t="s">
        <v>882</v>
      </c>
      <c r="H194" s="77">
        <v>12</v>
      </c>
      <c r="I194" s="77" t="s">
        <v>94</v>
      </c>
      <c r="J194" s="77">
        <v>303.63</v>
      </c>
      <c r="K194" s="70">
        <v>7160000</v>
      </c>
    </row>
    <row r="195" spans="2:11" x14ac:dyDescent="0.2">
      <c r="B195" s="75" t="s">
        <v>674</v>
      </c>
      <c r="C195" s="75" t="s">
        <v>675</v>
      </c>
      <c r="D195" s="76" t="s">
        <v>885</v>
      </c>
      <c r="E195" s="77" t="s">
        <v>677</v>
      </c>
      <c r="F195" s="77" t="s">
        <v>479</v>
      </c>
      <c r="G195" s="77" t="s">
        <v>882</v>
      </c>
      <c r="H195" s="77">
        <v>12</v>
      </c>
      <c r="I195" s="77" t="s">
        <v>578</v>
      </c>
      <c r="J195" s="77">
        <v>303.63</v>
      </c>
      <c r="K195" s="70">
        <v>7160000</v>
      </c>
    </row>
  </sheetData>
  <autoFilter ref="B4:K195" xr:uid="{A9B57FD2-76B6-4889-90F9-5B47AC34F4B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A42F-427B-4674-BE1A-6410619E759B}">
  <dimension ref="B2:H10"/>
  <sheetViews>
    <sheetView showGridLines="0" workbookViewId="0">
      <selection activeCell="G9" sqref="G9:H9"/>
    </sheetView>
  </sheetViews>
  <sheetFormatPr baseColWidth="10" defaultRowHeight="15" x14ac:dyDescent="0.2"/>
  <cols>
    <col min="2" max="2" width="10.1640625" customWidth="1"/>
    <col min="3" max="5" width="7.33203125" customWidth="1"/>
    <col min="6" max="6" width="10.1640625" customWidth="1"/>
    <col min="7" max="7" width="6.5" customWidth="1"/>
    <col min="8" max="8" width="7.6640625" bestFit="1" customWidth="1"/>
  </cols>
  <sheetData>
    <row r="2" spans="2:8" s="62" customFormat="1" ht="32" x14ac:dyDescent="0.2">
      <c r="B2" s="62" t="s">
        <v>108</v>
      </c>
      <c r="C2" s="62" t="s">
        <v>2</v>
      </c>
      <c r="D2" s="62" t="s">
        <v>11</v>
      </c>
      <c r="E2" s="62" t="s">
        <v>12</v>
      </c>
      <c r="F2" s="62" t="s">
        <v>114</v>
      </c>
      <c r="G2" s="62" t="s">
        <v>115</v>
      </c>
      <c r="H2" s="62" t="s">
        <v>116</v>
      </c>
    </row>
    <row r="3" spans="2:8" x14ac:dyDescent="0.2">
      <c r="B3" s="56" t="s">
        <v>109</v>
      </c>
      <c r="C3" s="63">
        <f>COUNTIF(Bonanza!$A$7:$A$197,'Vendidos x Ent Obra'!$B3)</f>
        <v>0</v>
      </c>
      <c r="D3" s="63">
        <f>COUNTIFS(Bonanza!$A$7:$A$197,'Vendidos x Ent Obra'!$B3,Bonanza!$O$7:$O$197,'Vendidos x Ent Obra'!D$2)</f>
        <v>0</v>
      </c>
      <c r="E3" s="63">
        <f>C3-D3</f>
        <v>0</v>
      </c>
      <c r="F3" s="63" t="e">
        <f>COUNTIFS(Bonanza!$A$7:$A$197,'Vendidos x Ent Obra'!$B3,Bonanza!#REF!,"ENTREGADO")</f>
        <v>#REF!</v>
      </c>
      <c r="G3" s="63">
        <f>COUNTIFS(Bonanza!$A$7:$A$197,'Vendidos x Ent Obra'!$B3,Bonanza!$AE$7:$AE$197,"ENTREGADO")</f>
        <v>0</v>
      </c>
      <c r="H3" s="63">
        <f>COUNTIFS(Bonanza!$A$7:$A$197,'Vendidos x Ent Obra'!$B3,Bonanza!$AE$7:$AE$197,"CUSTODIA")</f>
        <v>0</v>
      </c>
    </row>
    <row r="4" spans="2:8" x14ac:dyDescent="0.2">
      <c r="B4" s="56" t="s">
        <v>110</v>
      </c>
      <c r="C4" s="63">
        <f>COUNTIF(Bonanza!$A$7:$A$197,'Vendidos x Ent Obra'!$B4)</f>
        <v>0</v>
      </c>
      <c r="D4" s="63">
        <f>COUNTIFS(Bonanza!$A$7:$A$197,'Vendidos x Ent Obra'!$B4,Bonanza!$O$7:$O$197,'Vendidos x Ent Obra'!D$2)</f>
        <v>0</v>
      </c>
      <c r="E4" s="63">
        <f t="shared" ref="E4:E7" si="0">C4-D4</f>
        <v>0</v>
      </c>
      <c r="F4" s="63" t="e">
        <f>COUNTIFS(Bonanza!$A$7:$A$197,'Vendidos x Ent Obra'!$B4,Bonanza!#REF!,"ENTREGADO")</f>
        <v>#REF!</v>
      </c>
      <c r="G4" s="63">
        <f>COUNTIFS(Bonanza!$A$7:$A$197,'Vendidos x Ent Obra'!$B4,Bonanza!$AE$7:$AE$197,"ENTREGADO")</f>
        <v>0</v>
      </c>
      <c r="H4" s="63">
        <f>COUNTIFS(Bonanza!$A$7:$A$197,'Vendidos x Ent Obra'!$B4,Bonanza!$AE$7:$AE$197,"CUSTODIA")</f>
        <v>0</v>
      </c>
    </row>
    <row r="5" spans="2:8" x14ac:dyDescent="0.2">
      <c r="B5" s="56" t="s">
        <v>111</v>
      </c>
      <c r="C5" s="63">
        <f>COUNTIF(Bonanza!$A$7:$A$197,'Vendidos x Ent Obra'!$B5)</f>
        <v>0</v>
      </c>
      <c r="D5" s="63">
        <f>COUNTIFS(Bonanza!$A$7:$A$197,'Vendidos x Ent Obra'!$B5,Bonanza!$O$7:$O$197,'Vendidos x Ent Obra'!D$2)</f>
        <v>0</v>
      </c>
      <c r="E5" s="63">
        <f t="shared" si="0"/>
        <v>0</v>
      </c>
      <c r="F5" s="63" t="e">
        <f>COUNTIFS(Bonanza!$A$7:$A$197,'Vendidos x Ent Obra'!$B5,Bonanza!#REF!,"ENTREGADO")</f>
        <v>#REF!</v>
      </c>
      <c r="G5" s="63">
        <f>COUNTIFS(Bonanza!$A$7:$A$197,'Vendidos x Ent Obra'!$B5,Bonanza!$AE$7:$AE$197,"ENTREGADO")</f>
        <v>0</v>
      </c>
      <c r="H5" s="63">
        <f>COUNTIFS(Bonanza!$A$7:$A$197,'Vendidos x Ent Obra'!$B5,Bonanza!$AE$7:$AE$197,"CUSTODIA")</f>
        <v>0</v>
      </c>
    </row>
    <row r="6" spans="2:8" x14ac:dyDescent="0.2">
      <c r="B6" s="56" t="s">
        <v>112</v>
      </c>
      <c r="C6" s="63">
        <f>COUNTIF(Bonanza!$A$7:$A$197,'Vendidos x Ent Obra'!$B6)</f>
        <v>0</v>
      </c>
      <c r="D6" s="63">
        <f>COUNTIFS(Bonanza!$A$7:$A$197,'Vendidos x Ent Obra'!$B6,Bonanza!$O$7:$O$197,'Vendidos x Ent Obra'!D$2)</f>
        <v>0</v>
      </c>
      <c r="E6" s="63">
        <f t="shared" si="0"/>
        <v>0</v>
      </c>
      <c r="F6" s="63" t="e">
        <f>COUNTIFS(Bonanza!$A$7:$A$197,'Vendidos x Ent Obra'!$B6,Bonanza!#REF!,"ENTREGADO")</f>
        <v>#REF!</v>
      </c>
      <c r="G6" s="63">
        <f>COUNTIFS(Bonanza!$A$7:$A$197,'Vendidos x Ent Obra'!$B6,Bonanza!$AE$7:$AE$197,"ENTREGADO")</f>
        <v>0</v>
      </c>
      <c r="H6" s="63">
        <f>COUNTIFS(Bonanza!$A$7:$A$197,'Vendidos x Ent Obra'!$B6,Bonanza!$AE$7:$AE$197,"CUSTODIA")</f>
        <v>0</v>
      </c>
    </row>
    <row r="7" spans="2:8" x14ac:dyDescent="0.2">
      <c r="B7" s="56" t="s">
        <v>113</v>
      </c>
      <c r="C7" s="63">
        <f>COUNTIF(Bonanza!$A$7:$A$197,'Vendidos x Ent Obra'!$B7)</f>
        <v>0</v>
      </c>
      <c r="D7" s="63">
        <f>COUNTIFS(Bonanza!$A$7:$A$197,'Vendidos x Ent Obra'!$B7,Bonanza!$O$7:$O$197,'Vendidos x Ent Obra'!D$2)</f>
        <v>0</v>
      </c>
      <c r="E7" s="63">
        <f t="shared" si="0"/>
        <v>0</v>
      </c>
      <c r="F7" s="63" t="e">
        <f>COUNTIFS(Bonanza!$A$7:$A$197,'Vendidos x Ent Obra'!$B7,Bonanza!#REF!,"ENTREGADO")</f>
        <v>#REF!</v>
      </c>
      <c r="G7" s="63">
        <f>COUNTIFS(Bonanza!$A$7:$A$197,'Vendidos x Ent Obra'!$B7,Bonanza!$AE$7:$AE$197,"ENTREGADO")</f>
        <v>0</v>
      </c>
      <c r="H7" s="63">
        <f>COUNTIFS(Bonanza!$A$7:$A$197,'Vendidos x Ent Obra'!$B7,Bonanza!$AE$7:$AE$197,"CUSTODIA")</f>
        <v>0</v>
      </c>
    </row>
    <row r="8" spans="2:8" x14ac:dyDescent="0.2">
      <c r="C8" s="63"/>
      <c r="D8" s="63"/>
      <c r="E8" s="63"/>
      <c r="F8" s="63"/>
      <c r="G8" s="63"/>
    </row>
    <row r="9" spans="2:8" s="54" customFormat="1" x14ac:dyDescent="0.2">
      <c r="B9" s="54" t="s">
        <v>13</v>
      </c>
      <c r="C9" s="48">
        <f>SUM(C3:C8)</f>
        <v>0</v>
      </c>
      <c r="D9" s="48">
        <f t="shared" ref="D9:H9" si="1">SUM(D3:D8)</f>
        <v>0</v>
      </c>
      <c r="E9" s="48">
        <f t="shared" si="1"/>
        <v>0</v>
      </c>
      <c r="F9" s="48" t="e">
        <f t="shared" si="1"/>
        <v>#REF!</v>
      </c>
      <c r="G9" s="48">
        <f t="shared" si="1"/>
        <v>0</v>
      </c>
      <c r="H9" s="48">
        <f t="shared" si="1"/>
        <v>0</v>
      </c>
    </row>
    <row r="10" spans="2:8" x14ac:dyDescent="0.2">
      <c r="F10" s="103" t="e">
        <f>IF(F9=SUM(G9:H9),"OK","ERROR")</f>
        <v>#REF!</v>
      </c>
      <c r="G10" s="103"/>
      <c r="H10" s="103"/>
    </row>
  </sheetData>
  <mergeCells count="1">
    <mergeCell ref="F10:H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2"/>
  <sheetViews>
    <sheetView showGridLines="0" workbookViewId="0">
      <selection activeCell="D16" sqref="D16"/>
    </sheetView>
  </sheetViews>
  <sheetFormatPr baseColWidth="10" defaultColWidth="14.5" defaultRowHeight="15" customHeight="1" x14ac:dyDescent="0.2"/>
  <cols>
    <col min="7" max="7" width="28.5" customWidth="1"/>
    <col min="12" max="12" width="20.6640625" customWidth="1"/>
    <col min="23" max="23" width="16.6640625" customWidth="1"/>
    <col min="24" max="24" width="17.5" customWidth="1"/>
    <col min="31" max="31" width="41.83203125" customWidth="1"/>
  </cols>
  <sheetData>
    <row r="1" spans="1:32" ht="28" x14ac:dyDescent="0.2">
      <c r="A1" s="23" t="s">
        <v>21</v>
      </c>
      <c r="B1" s="23" t="s">
        <v>22</v>
      </c>
      <c r="C1" s="23" t="s">
        <v>23</v>
      </c>
      <c r="D1" s="23" t="s">
        <v>24</v>
      </c>
      <c r="E1" s="23" t="s">
        <v>25</v>
      </c>
      <c r="F1" s="23" t="s">
        <v>26</v>
      </c>
      <c r="G1" s="23" t="s">
        <v>27</v>
      </c>
      <c r="H1" s="23" t="s">
        <v>28</v>
      </c>
      <c r="I1" s="23" t="s">
        <v>29</v>
      </c>
      <c r="J1" s="23" t="s">
        <v>30</v>
      </c>
      <c r="K1" s="23" t="s">
        <v>31</v>
      </c>
      <c r="L1" s="23" t="s">
        <v>32</v>
      </c>
      <c r="M1" s="24" t="s">
        <v>33</v>
      </c>
      <c r="N1" s="24" t="s">
        <v>34</v>
      </c>
      <c r="O1" s="24" t="s">
        <v>35</v>
      </c>
      <c r="P1" s="24" t="s">
        <v>36</v>
      </c>
      <c r="Q1" s="23" t="s">
        <v>37</v>
      </c>
      <c r="R1" s="23" t="s">
        <v>38</v>
      </c>
      <c r="S1" s="25" t="s">
        <v>39</v>
      </c>
      <c r="T1" s="25" t="s">
        <v>40</v>
      </c>
      <c r="U1" s="25" t="s">
        <v>41</v>
      </c>
      <c r="V1" s="25" t="s">
        <v>42</v>
      </c>
      <c r="W1" s="26" t="s">
        <v>43</v>
      </c>
      <c r="X1" s="27" t="s">
        <v>44</v>
      </c>
      <c r="Y1" s="28" t="s">
        <v>45</v>
      </c>
      <c r="Z1" s="23" t="s">
        <v>46</v>
      </c>
      <c r="AA1" s="23" t="s">
        <v>47</v>
      </c>
      <c r="AB1" s="29" t="s">
        <v>105</v>
      </c>
      <c r="AC1" s="30" t="s">
        <v>49</v>
      </c>
      <c r="AD1" s="30" t="s">
        <v>50</v>
      </c>
      <c r="AE1" s="31" t="s">
        <v>51</v>
      </c>
      <c r="AF1" s="31" t="s">
        <v>52</v>
      </c>
    </row>
    <row r="2" spans="1:32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Graficas</vt:lpstr>
      <vt:lpstr>RESUMEN</vt:lpstr>
      <vt:lpstr>Bonanza</vt:lpstr>
      <vt:lpstr>Banorte</vt:lpstr>
      <vt:lpstr>Vendidos x Ent Obra</vt:lpstr>
      <vt:lpstr>CANCELACIONES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Miguel Magaña</dc:creator>
  <cp:lastModifiedBy>Martin Barroso</cp:lastModifiedBy>
  <dcterms:created xsi:type="dcterms:W3CDTF">2024-11-11T19:43:26Z</dcterms:created>
  <dcterms:modified xsi:type="dcterms:W3CDTF">2026-02-13T01:00:02Z</dcterms:modified>
</cp:coreProperties>
</file>